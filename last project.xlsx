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pooja\OneDrive\Desktop\"/>
    </mc:Choice>
  </mc:AlternateContent>
  <xr:revisionPtr revIDLastSave="0" documentId="8_{76CCCB54-7738-4F93-A7C9-E3C32A9F5AC1}" xr6:coauthVersionLast="47" xr6:coauthVersionMax="47" xr10:uidLastSave="{00000000-0000-0000-0000-000000000000}"/>
  <bookViews>
    <workbookView xWindow="-108" yWindow="-108" windowWidth="23256" windowHeight="12456" activeTab="4" xr2:uid="{382DC4DF-4E65-4BC5-9522-83E719EDBD89}"/>
  </bookViews>
  <sheets>
    <sheet name="Dashboard" sheetId="4" r:id="rId1"/>
    <sheet name="Raw_Data" sheetId="1" r:id="rId2"/>
    <sheet name="Clean_Data" sheetId="2" r:id="rId3"/>
    <sheet name="pivot tables" sheetId="3" r:id="rId4"/>
    <sheet name="Presentation" sheetId="5" r:id="rId5"/>
  </sheets>
  <definedNames>
    <definedName name="Slicer_Category">#N/A</definedName>
    <definedName name="Slicer_Region">#N/A</definedName>
  </definedNames>
  <calcPr calcId="191029"/>
  <pivotCaches>
    <pivotCache cacheId="20" r:id="rId6"/>
    <pivotCache cacheId="21" r:id="rId7"/>
    <pivotCache cacheId="22"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8" i="2" l="1"/>
  <c r="R7" i="2"/>
  <c r="R6" i="2"/>
  <c r="M6" i="2"/>
  <c r="M5" i="2"/>
  <c r="M4" i="2"/>
  <c r="M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3" i="2"/>
  <c r="U3" i="2"/>
  <c r="V3" i="2"/>
  <c r="W3" i="2"/>
  <c r="X3" i="2"/>
  <c r="Y3" i="2"/>
  <c r="Z3" i="2"/>
  <c r="T3" i="2"/>
  <c r="Q3" i="2"/>
  <c r="J62" i="3"/>
  <c r="I62" i="3"/>
  <c r="J61" i="3"/>
  <c r="I61" i="3"/>
  <c r="J60" i="3"/>
  <c r="I60" i="3"/>
  <c r="J59" i="3"/>
  <c r="I59" i="3"/>
  <c r="J58" i="3"/>
  <c r="I58" i="3"/>
  <c r="J57" i="3"/>
  <c r="I57" i="3"/>
  <c r="J56" i="3"/>
  <c r="I56" i="3"/>
  <c r="J55" i="3"/>
  <c r="I55" i="3"/>
  <c r="J54" i="3"/>
  <c r="I54" i="3"/>
  <c r="J53" i="3"/>
  <c r="I53" i="3"/>
  <c r="J52" i="3"/>
  <c r="I52" i="3"/>
  <c r="J51" i="3"/>
  <c r="I51" i="3"/>
  <c r="J50" i="3"/>
  <c r="I50" i="3"/>
  <c r="J49" i="3"/>
  <c r="I49" i="3"/>
  <c r="J48" i="3"/>
  <c r="I48" i="3"/>
  <c r="J47" i="3"/>
  <c r="I47" i="3"/>
  <c r="J46" i="3"/>
  <c r="I46" i="3"/>
  <c r="J45" i="3"/>
  <c r="I45" i="3"/>
  <c r="J44" i="3"/>
  <c r="I44" i="3"/>
  <c r="J43" i="3"/>
  <c r="I43" i="3"/>
  <c r="J42" i="3"/>
  <c r="I42" i="3"/>
  <c r="J41" i="3"/>
  <c r="I41" i="3"/>
  <c r="J40" i="3"/>
  <c r="I40" i="3"/>
  <c r="J39" i="3"/>
  <c r="I39" i="3"/>
  <c r="J38" i="3"/>
  <c r="I38" i="3"/>
  <c r="J37" i="3"/>
  <c r="I37" i="3"/>
  <c r="J36" i="3"/>
  <c r="I36" i="3"/>
  <c r="J35" i="3"/>
  <c r="I35" i="3"/>
  <c r="J34" i="3"/>
  <c r="I34" i="3"/>
  <c r="J33" i="3"/>
  <c r="I33" i="3"/>
  <c r="J32" i="3"/>
  <c r="I32" i="3"/>
  <c r="J31" i="3"/>
  <c r="I31" i="3"/>
  <c r="J30" i="3"/>
  <c r="I30" i="3"/>
  <c r="J29" i="3"/>
  <c r="I29" i="3"/>
  <c r="J28" i="3"/>
  <c r="I28" i="3"/>
  <c r="J27" i="3"/>
  <c r="I27" i="3"/>
  <c r="J26" i="3"/>
  <c r="I26" i="3"/>
  <c r="J25" i="3"/>
  <c r="I25" i="3"/>
  <c r="J24" i="3"/>
  <c r="I24" i="3"/>
  <c r="J23" i="3"/>
  <c r="I23" i="3"/>
  <c r="J22" i="3"/>
  <c r="I22" i="3"/>
  <c r="J21" i="3"/>
  <c r="I21" i="3"/>
  <c r="J20" i="3"/>
  <c r="I20" i="3"/>
  <c r="J19" i="3"/>
  <c r="I19" i="3"/>
  <c r="J18" i="3"/>
  <c r="I18" i="3"/>
  <c r="J17" i="3"/>
  <c r="I17" i="3"/>
  <c r="J16" i="3"/>
  <c r="I16" i="3"/>
  <c r="J15" i="3"/>
  <c r="I15" i="3"/>
  <c r="J14" i="3"/>
  <c r="I14" i="3"/>
  <c r="J13" i="3"/>
  <c r="I13" i="3"/>
  <c r="J12" i="3"/>
  <c r="I12" i="3"/>
  <c r="J11" i="3"/>
  <c r="I11" i="3"/>
  <c r="J10" i="3"/>
  <c r="I10" i="3"/>
  <c r="J9" i="3"/>
  <c r="I9" i="3"/>
  <c r="J8" i="3"/>
  <c r="I8" i="3"/>
  <c r="J7" i="3"/>
  <c r="I7" i="3"/>
  <c r="J6" i="3"/>
  <c r="I6" i="3"/>
  <c r="J5" i="3"/>
  <c r="I5" i="3"/>
  <c r="J4" i="3"/>
  <c r="I4" i="3"/>
  <c r="J3" i="3"/>
  <c r="I3" i="3"/>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N3" i="2"/>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2" i="1"/>
  <c r="J4" i="2"/>
  <c r="J5" i="2"/>
  <c r="J3" i="2"/>
  <c r="AB3" i="2" s="1"/>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3" i="2"/>
  <c r="AA3" i="2" s="1"/>
</calcChain>
</file>

<file path=xl/sharedStrings.xml><?xml version="1.0" encoding="utf-8"?>
<sst xmlns="http://schemas.openxmlformats.org/spreadsheetml/2006/main" count="861" uniqueCount="95">
  <si>
    <t>Order_ID</t>
  </si>
  <si>
    <t>Date</t>
  </si>
  <si>
    <t>Customer</t>
  </si>
  <si>
    <t>Region</t>
  </si>
  <si>
    <t>Product</t>
  </si>
  <si>
    <t>Category</t>
  </si>
  <si>
    <t>Sales</t>
  </si>
  <si>
    <t>Profit</t>
  </si>
  <si>
    <t>West</t>
  </si>
  <si>
    <t>Laptop</t>
  </si>
  <si>
    <t>Electronics</t>
  </si>
  <si>
    <t>North</t>
  </si>
  <si>
    <t>Phone</t>
  </si>
  <si>
    <t>South</t>
  </si>
  <si>
    <t>Chair</t>
  </si>
  <si>
    <t>Furniture</t>
  </si>
  <si>
    <t>East</t>
  </si>
  <si>
    <t>Table</t>
  </si>
  <si>
    <t>Headphones</t>
  </si>
  <si>
    <t>Riya</t>
  </si>
  <si>
    <t>Aarav</t>
  </si>
  <si>
    <t>Kavya</t>
  </si>
  <si>
    <t>Vivaan</t>
  </si>
  <si>
    <t>Meera</t>
  </si>
  <si>
    <t>Arjun</t>
  </si>
  <si>
    <t>Ananya</t>
  </si>
  <si>
    <t>Sofa</t>
  </si>
  <si>
    <t>Ishaan</t>
  </si>
  <si>
    <t>Priya</t>
  </si>
  <si>
    <t>Dev</t>
  </si>
  <si>
    <t>format date</t>
  </si>
  <si>
    <t>month</t>
  </si>
  <si>
    <t>Row Labels</t>
  </si>
  <si>
    <t>Grand Total</t>
  </si>
  <si>
    <t>Sum of Sales</t>
  </si>
  <si>
    <t>Sum of Profit</t>
  </si>
  <si>
    <t>Month</t>
  </si>
  <si>
    <t>Jan</t>
  </si>
  <si>
    <t>Feb</t>
  </si>
  <si>
    <t>Mar</t>
  </si>
  <si>
    <t>Apr</t>
  </si>
  <si>
    <t>May</t>
  </si>
  <si>
    <t>Jun</t>
  </si>
  <si>
    <t>Jul</t>
  </si>
  <si>
    <t>Aug</t>
  </si>
  <si>
    <t>Sep</t>
  </si>
  <si>
    <t>Oct</t>
  </si>
  <si>
    <t>Nov</t>
  </si>
  <si>
    <t>Dec</t>
  </si>
  <si>
    <t>VLOOKUP</t>
  </si>
  <si>
    <t>If condition</t>
  </si>
  <si>
    <t>countif</t>
  </si>
  <si>
    <t>south</t>
  </si>
  <si>
    <t>north</t>
  </si>
  <si>
    <t>east</t>
  </si>
  <si>
    <t>ewest</t>
  </si>
  <si>
    <t>sales by region</t>
  </si>
  <si>
    <t>sales by catagory</t>
  </si>
  <si>
    <t>Monthly Sales Trend</t>
  </si>
  <si>
    <t>profit analysis</t>
  </si>
  <si>
    <t>Total Sales</t>
  </si>
  <si>
    <t>Total Profit</t>
  </si>
  <si>
    <t>Total Orders</t>
  </si>
  <si>
    <t>Excel Sales Dashboard Project Presentation</t>
  </si>
  <si>
    <t>Step 1: Raw Data Preparation</t>
  </si>
  <si>
    <t>• Created dataset with Order_ID, Date, Customer, Region, Product, Category, Sales, and Profit.</t>
  </si>
  <si>
    <t>• Stored all original data in Raw_Data sheet.</t>
  </si>
  <si>
    <t>Step 2: Data Cleaning</t>
  </si>
  <si>
    <t>• Removed duplicates.</t>
  </si>
  <si>
    <t>• Handled missing values using IF formula.</t>
  </si>
  <si>
    <t>• Formatted date column.</t>
  </si>
  <si>
    <t>• Created Month column using TEXT formula.</t>
  </si>
  <si>
    <t>Step 3: Pivot Tables</t>
  </si>
  <si>
    <t>• Sales by Region</t>
  </si>
  <si>
    <t>• Sales by Category</t>
  </si>
  <si>
    <t>• Monthly Sales Trend</t>
  </si>
  <si>
    <t>• Profit by Product</t>
  </si>
  <si>
    <t>Step 4: Advanced Formulas</t>
  </si>
  <si>
    <t>• Used VLOOKUP for lookup operations.</t>
  </si>
  <si>
    <t>• Used INDEX + MATCH for dynamic lookup.</t>
  </si>
  <si>
    <t>• Used IF, COUNTIF, and SUM formulas.</t>
  </si>
  <si>
    <t>Step 5: Charts &amp; Visualization</t>
  </si>
  <si>
    <t>• Bar Chart for Region Sales</t>
  </si>
  <si>
    <t>• Pie Chart for Category Share</t>
  </si>
  <si>
    <t>• Line Chart for Monthly Trend</t>
  </si>
  <si>
    <t>• Column Chart for Product Profit</t>
  </si>
  <si>
    <t>Step 6: Interactive Dashboard</t>
  </si>
  <si>
    <t>• Created KPI Cards: Total Sales, Total Profit, Total Orders</t>
  </si>
  <si>
    <t>• Added slicers for Region and Category</t>
  </si>
  <si>
    <t>• Connected slicers to all pivot tables</t>
  </si>
  <si>
    <t>• Designed professional dashboard layout</t>
  </si>
  <si>
    <t>Conclusion</t>
  </si>
  <si>
    <t>• This dashboard helps analyze sales performance effectively.</t>
  </si>
  <si>
    <t>• Interactive filters make reporting easier.</t>
  </si>
  <si>
    <t>• The project demonstrates strong Excel and data analysis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</si>
</sst>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7" x14ac:knownFonts="1">
    <font>
      <sz val="11"/>
      <color theme="1"/>
      <name val="Aptos Narrow"/>
      <family val="2"/>
      <scheme val="minor"/>
    </font>
    <font>
      <b/>
      <sz val="10"/>
      <color theme="1"/>
      <name val="Arial"/>
      <family val="2"/>
    </font>
    <font>
      <sz val="10"/>
      <color theme="1"/>
      <name val="Arial"/>
      <family val="2"/>
    </font>
    <font>
      <b/>
      <sz val="11"/>
      <color theme="1"/>
      <name val="Aptos Narrow"/>
      <family val="2"/>
      <scheme val="minor"/>
    </font>
    <font>
      <b/>
      <sz val="18"/>
      <color rgb="FFFFFFFF"/>
      <name val="Calibri"/>
      <family val="2"/>
    </font>
    <font>
      <b/>
      <sz val="13"/>
      <name val="Calibri"/>
      <family val="2"/>
    </font>
    <font>
      <sz val="11"/>
      <name val="Calibri"/>
      <family val="2"/>
    </font>
  </fonts>
  <fills count="5">
    <fill>
      <patternFill patternType="none"/>
    </fill>
    <fill>
      <patternFill patternType="gray125"/>
    </fill>
    <fill>
      <patternFill patternType="solid">
        <fgColor theme="3"/>
        <bgColor indexed="64"/>
      </patternFill>
    </fill>
    <fill>
      <patternFill patternType="solid">
        <fgColor rgb="FF1F4E78"/>
        <bgColor rgb="FF1F4E78"/>
      </patternFill>
    </fill>
    <fill>
      <patternFill patternType="solid">
        <fgColor rgb="FFD9EAF7"/>
        <bgColor rgb="FFD9EAF7"/>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18">
    <xf numFmtId="0" fontId="0" fillId="0" borderId="0" xfId="0"/>
    <xf numFmtId="0" fontId="1" fillId="0" borderId="0" xfId="0" applyFont="1" applyAlignment="1">
      <alignment horizontal="center"/>
    </xf>
    <xf numFmtId="0" fontId="2" fillId="0" borderId="0" xfId="0" applyFont="1"/>
    <xf numFmtId="0" fontId="2" fillId="0" borderId="0" xfId="0" applyFont="1" applyAlignment="1">
      <alignment horizontal="right"/>
    </xf>
    <xf numFmtId="164" fontId="1" fillId="0" borderId="0" xfId="0" applyNumberFormat="1" applyFont="1" applyAlignment="1">
      <alignment horizontal="center"/>
    </xf>
    <xf numFmtId="164" fontId="2" fillId="0" borderId="0" xfId="0" applyNumberFormat="1" applyFont="1" applyAlignment="1">
      <alignment horizontal="right"/>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0" fillId="0" borderId="0" xfId="0"/>
    <xf numFmtId="49" fontId="3" fillId="2" borderId="0" xfId="0" applyNumberFormat="1" applyFont="1" applyFill="1" applyBorder="1" applyAlignment="1">
      <alignment horizontal="center" vertical="center"/>
    </xf>
    <xf numFmtId="0" fontId="0" fillId="2" borderId="0" xfId="0" applyFill="1"/>
    <xf numFmtId="0" fontId="6" fillId="0" borderId="1" xfId="0" applyFont="1" applyBorder="1" applyAlignment="1">
      <alignment vertical="top" wrapText="1"/>
    </xf>
    <xf numFmtId="0" fontId="0" fillId="0" borderId="0" xfId="0"/>
    <xf numFmtId="0" fontId="5" fillId="4" borderId="1" xfId="0" applyFont="1" applyFill="1" applyBorder="1" applyAlignment="1">
      <alignment horizontal="center" vertical="center" wrapText="1"/>
    </xf>
    <xf numFmtId="0" fontId="4" fillId="3"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[last project.xlsx]pivot tables!sales by region</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tables'!$M$2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tables'!$L$3:$L$4</c:f>
              <c:strCache>
                <c:ptCount val="1"/>
                <c:pt idx="0">
                  <c:v>East</c:v>
                </c:pt>
              </c:strCache>
            </c:strRef>
          </c:cat>
          <c:val>
            <c:numRef>
              <c:f>'pivot tables'!$M$3:$M$4</c:f>
              <c:numCache>
                <c:formatCode>General</c:formatCode>
                <c:ptCount val="1"/>
                <c:pt idx="0">
                  <c:v>42500</c:v>
                </c:pt>
              </c:numCache>
            </c:numRef>
          </c:val>
          <c:extLst>
            <c:ext xmlns:c16="http://schemas.microsoft.com/office/drawing/2014/chart" uri="{C3380CC4-5D6E-409C-BE32-E72D297353CC}">
              <c16:uniqueId val="{00000000-721B-42D0-B539-BA7B630B5CD0}"/>
            </c:ext>
          </c:extLst>
        </c:ser>
        <c:dLbls>
          <c:showLegendKey val="0"/>
          <c:showVal val="0"/>
          <c:showCatName val="0"/>
          <c:showSerName val="0"/>
          <c:showPercent val="0"/>
          <c:showBubbleSize val="0"/>
        </c:dLbls>
        <c:gapWidth val="115"/>
        <c:overlap val="-20"/>
        <c:axId val="167432479"/>
        <c:axId val="167433919"/>
      </c:barChart>
      <c:catAx>
        <c:axId val="1674324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433919"/>
        <c:crosses val="autoZero"/>
        <c:auto val="1"/>
        <c:lblAlgn val="ctr"/>
        <c:lblOffset val="100"/>
        <c:noMultiLvlLbl val="0"/>
      </c:catAx>
      <c:valAx>
        <c:axId val="16743391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43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[last project.xlsx]pivot tables!profit analysis</c:name>
    <c:fmtId val="2"/>
  </c:pivotSource>
  <c:chart>
    <c:title>
      <c:tx>
        <c:rich>
          <a:bodyPr rot="0" spcFirstLastPara="1" vertOverflow="ellipsis" vert="horz" wrap="square" anchor="ctr" anchorCtr="1"/>
          <a:lstStyle/>
          <a:p>
            <a:pPr>
              <a:defRPr sz="1400" b="0" i="0" u="none" strike="noStrike" kern="1200" spc="0" baseline="0">
                <a:ln>
                  <a:solidFill>
                    <a:schemeClr val="accent1"/>
                  </a:solidFill>
                </a:ln>
                <a:solidFill>
                  <a:schemeClr val="tx1">
                    <a:lumMod val="65000"/>
                    <a:lumOff val="35000"/>
                  </a:schemeClr>
                </a:solidFill>
                <a:latin typeface="+mn-lt"/>
                <a:ea typeface="+mn-ea"/>
                <a:cs typeface="+mn-cs"/>
              </a:defRPr>
            </a:pPr>
            <a:r>
              <a:rPr lang="en-US" sz="1400" b="0" i="0" u="none" strike="noStrike" baseline="0">
                <a:ln>
                  <a:solidFill>
                    <a:schemeClr val="accent1"/>
                  </a:solidFill>
                </a:ln>
                <a:effectLst/>
              </a:rPr>
              <a:t>profit analysis </a:t>
            </a:r>
            <a:endParaRPr lang="en-US">
              <a:ln>
                <a:solidFill>
                  <a:schemeClr val="accent1"/>
                </a:solidFill>
              </a:ln>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40"/>
      <c:depthPercent val="100"/>
      <c:rAngAx val="0"/>
      <c:perspective val="4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8259186351706034E-2"/>
          <c:y val="0.3310309128025663"/>
          <c:w val="0.64562948381452323"/>
          <c:h val="0.58733413531641876"/>
        </c:manualLayout>
      </c:layout>
      <c:pie3DChart>
        <c:varyColors val="1"/>
        <c:ser>
          <c:idx val="0"/>
          <c:order val="0"/>
          <c:tx>
            <c:strRef>
              <c:f>'pivot tables'!$Y$2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59F-4747-BE47-B4E6A849B6B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59F-4747-BE47-B4E6A849B6B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59F-4747-BE47-B4E6A849B6B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59F-4747-BE47-B4E6A849B6B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59F-4747-BE47-B4E6A849B6B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259F-4747-BE47-B4E6A849B6B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tables'!$X$3:$X$4</c:f>
              <c:strCache>
                <c:ptCount val="1"/>
                <c:pt idx="0">
                  <c:v>Table</c:v>
                </c:pt>
              </c:strCache>
            </c:strRef>
          </c:cat>
          <c:val>
            <c:numRef>
              <c:f>'pivot tables'!$Y$3:$Y$4</c:f>
              <c:numCache>
                <c:formatCode>General</c:formatCode>
                <c:ptCount val="1"/>
                <c:pt idx="0">
                  <c:v>8600</c:v>
                </c:pt>
              </c:numCache>
            </c:numRef>
          </c:val>
          <c:extLst>
            <c:ext xmlns:c16="http://schemas.microsoft.com/office/drawing/2014/chart" uri="{C3380CC4-5D6E-409C-BE32-E72D297353CC}">
              <c16:uniqueId val="{0000000C-259F-4747-BE47-B4E6A849B6B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bevelB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[last project.xlsx]pivot tables!Monthly Sales Trend</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Monthly Sales Trend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tables'!$U$2</c:f>
              <c:strCache>
                <c:ptCount val="1"/>
                <c:pt idx="0">
                  <c:v>Total</c:v>
                </c:pt>
              </c:strCache>
            </c:strRef>
          </c:tx>
          <c:spPr>
            <a:ln w="28575" cap="rnd">
              <a:solidFill>
                <a:schemeClr val="accent1"/>
              </a:solidFill>
              <a:round/>
            </a:ln>
            <a:effectLst/>
          </c:spPr>
          <c:marker>
            <c:symbol val="none"/>
          </c:marker>
          <c:cat>
            <c:strRef>
              <c:f>'pivot tables'!$T$3:$T$6</c:f>
              <c:strCache>
                <c:ptCount val="3"/>
                <c:pt idx="0">
                  <c:v>Apr</c:v>
                </c:pt>
                <c:pt idx="1">
                  <c:v>Aug</c:v>
                </c:pt>
                <c:pt idx="2">
                  <c:v>Dec</c:v>
                </c:pt>
              </c:strCache>
            </c:strRef>
          </c:cat>
          <c:val>
            <c:numRef>
              <c:f>'pivot tables'!$U$3:$U$6</c:f>
              <c:numCache>
                <c:formatCode>General</c:formatCode>
                <c:ptCount val="3"/>
                <c:pt idx="0">
                  <c:v>12000</c:v>
                </c:pt>
                <c:pt idx="1">
                  <c:v>15500</c:v>
                </c:pt>
                <c:pt idx="2">
                  <c:v>15000</c:v>
                </c:pt>
              </c:numCache>
            </c:numRef>
          </c:val>
          <c:smooth val="0"/>
          <c:extLst>
            <c:ext xmlns:c16="http://schemas.microsoft.com/office/drawing/2014/chart" uri="{C3380CC4-5D6E-409C-BE32-E72D297353CC}">
              <c16:uniqueId val="{00000000-C07B-4CC7-8B32-56FB7EA0404D}"/>
            </c:ext>
          </c:extLst>
        </c:ser>
        <c:dLbls>
          <c:showLegendKey val="0"/>
          <c:showVal val="0"/>
          <c:showCatName val="0"/>
          <c:showSerName val="0"/>
          <c:showPercent val="0"/>
          <c:showBubbleSize val="0"/>
        </c:dLbls>
        <c:smooth val="0"/>
        <c:axId val="265014239"/>
        <c:axId val="265011359"/>
      </c:lineChart>
      <c:catAx>
        <c:axId val="26501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011359"/>
        <c:crosses val="autoZero"/>
        <c:auto val="1"/>
        <c:lblAlgn val="ctr"/>
        <c:lblOffset val="100"/>
        <c:noMultiLvlLbl val="0"/>
      </c:catAx>
      <c:valAx>
        <c:axId val="265011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01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[last project.xlsx]pivot tables!sales by region</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tables'!$M$2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tables'!$L$3:$L$4</c:f>
              <c:strCache>
                <c:ptCount val="1"/>
                <c:pt idx="0">
                  <c:v>East</c:v>
                </c:pt>
              </c:strCache>
            </c:strRef>
          </c:cat>
          <c:val>
            <c:numRef>
              <c:f>'pivot tables'!$M$3:$M$4</c:f>
              <c:numCache>
                <c:formatCode>General</c:formatCode>
                <c:ptCount val="1"/>
                <c:pt idx="0">
                  <c:v>42500</c:v>
                </c:pt>
              </c:numCache>
            </c:numRef>
          </c:val>
          <c:extLst>
            <c:ext xmlns:c16="http://schemas.microsoft.com/office/drawing/2014/chart" uri="{C3380CC4-5D6E-409C-BE32-E72D297353CC}">
              <c16:uniqueId val="{00000000-BFF8-465F-A737-075B088C112B}"/>
            </c:ext>
          </c:extLst>
        </c:ser>
        <c:dLbls>
          <c:showLegendKey val="0"/>
          <c:showVal val="0"/>
          <c:showCatName val="0"/>
          <c:showSerName val="0"/>
          <c:showPercent val="0"/>
          <c:showBubbleSize val="0"/>
        </c:dLbls>
        <c:gapWidth val="115"/>
        <c:overlap val="-20"/>
        <c:axId val="167432479"/>
        <c:axId val="167433919"/>
      </c:barChart>
      <c:catAx>
        <c:axId val="1674324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433919"/>
        <c:crosses val="autoZero"/>
        <c:auto val="1"/>
        <c:lblAlgn val="ctr"/>
        <c:lblOffset val="100"/>
        <c:noMultiLvlLbl val="0"/>
      </c:catAx>
      <c:valAx>
        <c:axId val="16743391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43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[last project.xlsx]pivot tables!profit analysis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analysis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30"/>
      <c:rotY val="40"/>
      <c:depthPercent val="100"/>
      <c:rAngAx val="0"/>
      <c:perspective val="4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tables'!$Y$2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tables'!$X$3:$X$4</c:f>
              <c:strCache>
                <c:ptCount val="1"/>
                <c:pt idx="0">
                  <c:v>Table</c:v>
                </c:pt>
              </c:strCache>
            </c:strRef>
          </c:cat>
          <c:val>
            <c:numRef>
              <c:f>'pivot tables'!$Y$3:$Y$4</c:f>
              <c:numCache>
                <c:formatCode>General</c:formatCode>
                <c:ptCount val="1"/>
                <c:pt idx="0">
                  <c:v>8600</c:v>
                </c:pt>
              </c:numCache>
            </c:numRef>
          </c:val>
          <c:extLst>
            <c:ext xmlns:c16="http://schemas.microsoft.com/office/drawing/2014/chart" uri="{C3380CC4-5D6E-409C-BE32-E72D297353CC}">
              <c16:uniqueId val="{00000000-35E1-4FD8-A145-25B4D356723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bevelB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[last project.xlsx]pivot tables!Monthly Sales Trend</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Monthly Sales Trend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tables'!$U$2</c:f>
              <c:strCache>
                <c:ptCount val="1"/>
                <c:pt idx="0">
                  <c:v>Total</c:v>
                </c:pt>
              </c:strCache>
            </c:strRef>
          </c:tx>
          <c:spPr>
            <a:ln w="28575" cap="rnd">
              <a:solidFill>
                <a:schemeClr val="accent1"/>
              </a:solidFill>
              <a:round/>
            </a:ln>
            <a:effectLst/>
          </c:spPr>
          <c:marker>
            <c:symbol val="none"/>
          </c:marker>
          <c:cat>
            <c:strRef>
              <c:f>'pivot tables'!$T$3:$T$6</c:f>
              <c:strCache>
                <c:ptCount val="3"/>
                <c:pt idx="0">
                  <c:v>Apr</c:v>
                </c:pt>
                <c:pt idx="1">
                  <c:v>Aug</c:v>
                </c:pt>
                <c:pt idx="2">
                  <c:v>Dec</c:v>
                </c:pt>
              </c:strCache>
            </c:strRef>
          </c:cat>
          <c:val>
            <c:numRef>
              <c:f>'pivot tables'!$U$3:$U$6</c:f>
              <c:numCache>
                <c:formatCode>General</c:formatCode>
                <c:ptCount val="3"/>
                <c:pt idx="0">
                  <c:v>12000</c:v>
                </c:pt>
                <c:pt idx="1">
                  <c:v>15500</c:v>
                </c:pt>
                <c:pt idx="2">
                  <c:v>15000</c:v>
                </c:pt>
              </c:numCache>
            </c:numRef>
          </c:val>
          <c:smooth val="0"/>
          <c:extLst>
            <c:ext xmlns:c16="http://schemas.microsoft.com/office/drawing/2014/chart" uri="{C3380CC4-5D6E-409C-BE32-E72D297353CC}">
              <c16:uniqueId val="{00000000-7DB0-4759-B926-0D12CB4E4421}"/>
            </c:ext>
          </c:extLst>
        </c:ser>
        <c:dLbls>
          <c:showLegendKey val="0"/>
          <c:showVal val="0"/>
          <c:showCatName val="0"/>
          <c:showSerName val="0"/>
          <c:showPercent val="0"/>
          <c:showBubbleSize val="0"/>
        </c:dLbls>
        <c:smooth val="0"/>
        <c:axId val="265014239"/>
        <c:axId val="265011359"/>
      </c:lineChart>
      <c:catAx>
        <c:axId val="26501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011359"/>
        <c:crosses val="autoZero"/>
        <c:auto val="1"/>
        <c:lblAlgn val="ctr"/>
        <c:lblOffset val="100"/>
        <c:noMultiLvlLbl val="0"/>
      </c:catAx>
      <c:valAx>
        <c:axId val="265011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01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335280</xdr:colOff>
      <xdr:row>22</xdr:row>
      <xdr:rowOff>99060</xdr:rowOff>
    </xdr:from>
    <xdr:to>
      <xdr:col>8</xdr:col>
      <xdr:colOff>30480</xdr:colOff>
      <xdr:row>37</xdr:row>
      <xdr:rowOff>99060</xdr:rowOff>
    </xdr:to>
    <xdr:graphicFrame macro="">
      <xdr:nvGraphicFramePr>
        <xdr:cNvPr id="2" name="Chart 1">
          <a:extLst>
            <a:ext uri="{FF2B5EF4-FFF2-40B4-BE49-F238E27FC236}">
              <a16:creationId xmlns:a16="http://schemas.microsoft.com/office/drawing/2014/main" id="{4674C57C-6165-4E20-92F4-C34D076F0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426720</xdr:colOff>
      <xdr:row>22</xdr:row>
      <xdr:rowOff>137160</xdr:rowOff>
    </xdr:from>
    <xdr:to>
      <xdr:col>17</xdr:col>
      <xdr:colOff>121920</xdr:colOff>
      <xdr:row>37</xdr:row>
      <xdr:rowOff>137160</xdr:rowOff>
    </xdr:to>
    <xdr:graphicFrame macro="">
      <xdr:nvGraphicFramePr>
        <xdr:cNvPr id="3" name="Chart 2">
          <a:extLst>
            <a:ext uri="{FF2B5EF4-FFF2-40B4-BE49-F238E27FC236}">
              <a16:creationId xmlns:a16="http://schemas.microsoft.com/office/drawing/2014/main" id="{5AE3F2E2-4B45-4270-BF94-3144738A7C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601980</xdr:colOff>
      <xdr:row>4</xdr:row>
      <xdr:rowOff>167640</xdr:rowOff>
    </xdr:from>
    <xdr:to>
      <xdr:col>17</xdr:col>
      <xdr:colOff>68580</xdr:colOff>
      <xdr:row>19</xdr:row>
      <xdr:rowOff>167640</xdr:rowOff>
    </xdr:to>
    <xdr:graphicFrame macro="">
      <xdr:nvGraphicFramePr>
        <xdr:cNvPr id="4" name="Chart 3">
          <a:extLst>
            <a:ext uri="{FF2B5EF4-FFF2-40B4-BE49-F238E27FC236}">
              <a16:creationId xmlns:a16="http://schemas.microsoft.com/office/drawing/2014/main" id="{7BFBBF6B-EC76-4EE2-B73F-1B0AE9CF44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281940</xdr:colOff>
      <xdr:row>4</xdr:row>
      <xdr:rowOff>175259</xdr:rowOff>
    </xdr:from>
    <xdr:to>
      <xdr:col>20</xdr:col>
      <xdr:colOff>281940</xdr:colOff>
      <xdr:row>19</xdr:row>
      <xdr:rowOff>175259</xdr:rowOff>
    </xdr:to>
    <mc:AlternateContent xmlns:mc="http://schemas.openxmlformats.org/markup-compatibility/2006">
      <mc:Choice xmlns:a14="http://schemas.microsoft.com/office/drawing/2010/main" Requires="a14">
        <xdr:graphicFrame macro="">
          <xdr:nvGraphicFramePr>
            <xdr:cNvPr id="14" name="Category 1">
              <a:extLst>
                <a:ext uri="{FF2B5EF4-FFF2-40B4-BE49-F238E27FC236}">
                  <a16:creationId xmlns:a16="http://schemas.microsoft.com/office/drawing/2014/main" id="{CE9028DF-A9A1-4BDA-8154-23567B7DD36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645140" y="891539"/>
              <a:ext cx="1828800" cy="274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22</xdr:row>
      <xdr:rowOff>129540</xdr:rowOff>
    </xdr:from>
    <xdr:to>
      <xdr:col>20</xdr:col>
      <xdr:colOff>598170</xdr:colOff>
      <xdr:row>37</xdr:row>
      <xdr:rowOff>129540</xdr:rowOff>
    </xdr:to>
    <mc:AlternateContent xmlns:mc="http://schemas.openxmlformats.org/markup-compatibility/2006">
      <mc:Choice xmlns:a14="http://schemas.microsoft.com/office/drawing/2010/main" Requires="a14">
        <xdr:graphicFrame macro="">
          <xdr:nvGraphicFramePr>
            <xdr:cNvPr id="15" name="Region 1">
              <a:extLst>
                <a:ext uri="{FF2B5EF4-FFF2-40B4-BE49-F238E27FC236}">
                  <a16:creationId xmlns:a16="http://schemas.microsoft.com/office/drawing/2014/main" id="{AAFB64AB-55CA-4B00-A493-A5AEE7FCFDC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972800" y="4137660"/>
              <a:ext cx="1817370" cy="274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83820</xdr:colOff>
      <xdr:row>0</xdr:row>
      <xdr:rowOff>60960</xdr:rowOff>
    </xdr:from>
    <xdr:to>
      <xdr:col>20</xdr:col>
      <xdr:colOff>533400</xdr:colOff>
      <xdr:row>2</xdr:row>
      <xdr:rowOff>144780</xdr:rowOff>
    </xdr:to>
    <xdr:sp macro="" textlink="">
      <xdr:nvSpPr>
        <xdr:cNvPr id="17" name="Rectangle 16">
          <a:extLst>
            <a:ext uri="{FF2B5EF4-FFF2-40B4-BE49-F238E27FC236}">
              <a16:creationId xmlns:a16="http://schemas.microsoft.com/office/drawing/2014/main" id="{380DB6E8-4D8C-3678-B45F-D516D42E386C}"/>
            </a:ext>
          </a:extLst>
        </xdr:cNvPr>
        <xdr:cNvSpPr/>
      </xdr:nvSpPr>
      <xdr:spPr>
        <a:xfrm>
          <a:off x="83820" y="60960"/>
          <a:ext cx="12641580" cy="44958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1"/>
            <a:t>SALES DASHBOARD</a:t>
          </a:r>
        </a:p>
      </xdr:txBody>
    </xdr:sp>
    <xdr:clientData/>
  </xdr:twoCellAnchor>
  <xdr:twoCellAnchor>
    <xdr:from>
      <xdr:col>1</xdr:col>
      <xdr:colOff>22860</xdr:colOff>
      <xdr:row>4</xdr:row>
      <xdr:rowOff>167640</xdr:rowOff>
    </xdr:from>
    <xdr:to>
      <xdr:col>4</xdr:col>
      <xdr:colOff>68580</xdr:colOff>
      <xdr:row>7</xdr:row>
      <xdr:rowOff>144780</xdr:rowOff>
    </xdr:to>
    <xdr:sp macro="" textlink="Clean_Data!R7">
      <xdr:nvSpPr>
        <xdr:cNvPr id="11" name="Rectangle: Rounded Corners 10">
          <a:extLst>
            <a:ext uri="{FF2B5EF4-FFF2-40B4-BE49-F238E27FC236}">
              <a16:creationId xmlns:a16="http://schemas.microsoft.com/office/drawing/2014/main" id="{C710907D-28F6-4173-B636-AFBB49339563}"/>
            </a:ext>
          </a:extLst>
        </xdr:cNvPr>
        <xdr:cNvSpPr/>
      </xdr:nvSpPr>
      <xdr:spPr>
        <a:xfrm>
          <a:off x="632460" y="883920"/>
          <a:ext cx="1874520" cy="5257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t>Total Profit</a:t>
          </a:r>
          <a:br>
            <a:rPr lang="en-US"/>
          </a:br>
          <a:fld id="{1D1A7EAE-B765-4B6A-A428-BA9E575335C0}" type="TxLink">
            <a:rPr lang="en-US" sz="1100" b="0" i="0" u="none" strike="noStrike">
              <a:solidFill>
                <a:srgbClr val="000000"/>
              </a:solidFill>
              <a:latin typeface="Aptos Narrow"/>
            </a:rPr>
            <a:t>253050</a:t>
          </a:fld>
          <a:endParaRPr lang="en-US" sz="1100">
            <a:solidFill>
              <a:schemeClr val="bg1"/>
            </a:solidFill>
          </a:endParaRPr>
        </a:p>
      </xdr:txBody>
    </xdr:sp>
    <xdr:clientData/>
  </xdr:twoCellAnchor>
  <xdr:twoCellAnchor>
    <xdr:from>
      <xdr:col>0</xdr:col>
      <xdr:colOff>586740</xdr:colOff>
      <xdr:row>10</xdr:row>
      <xdr:rowOff>91440</xdr:rowOff>
    </xdr:from>
    <xdr:to>
      <xdr:col>4</xdr:col>
      <xdr:colOff>53340</xdr:colOff>
      <xdr:row>13</xdr:row>
      <xdr:rowOff>68580</xdr:rowOff>
    </xdr:to>
    <xdr:sp macro="" textlink="Clean_Data!R6">
      <xdr:nvSpPr>
        <xdr:cNvPr id="6" name="Rectangle: Rounded Corners 5">
          <a:extLst>
            <a:ext uri="{FF2B5EF4-FFF2-40B4-BE49-F238E27FC236}">
              <a16:creationId xmlns:a16="http://schemas.microsoft.com/office/drawing/2014/main" id="{AFCA265C-EE72-04C9-73E5-D0E0DDC68ADE}"/>
            </a:ext>
          </a:extLst>
        </xdr:cNvPr>
        <xdr:cNvSpPr/>
      </xdr:nvSpPr>
      <xdr:spPr>
        <a:xfrm>
          <a:off x="586740" y="1905000"/>
          <a:ext cx="1905000" cy="5257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t>Total Sales</a:t>
          </a:r>
          <a:br>
            <a:rPr lang="en-US"/>
          </a:br>
          <a:fld id="{6342C1A7-C4B9-4DF6-9F63-5FF95327AE6F}" type="TxLink">
            <a:rPr lang="en-US" sz="1100" b="0" i="0" u="none" strike="noStrike">
              <a:solidFill>
                <a:srgbClr val="000000"/>
              </a:solidFill>
              <a:latin typeface="Aptos Narrow"/>
            </a:rPr>
            <a:t>1410900</a:t>
          </a:fld>
          <a:endParaRPr lang="en-US" sz="1100">
            <a:solidFill>
              <a:schemeClr val="bg1"/>
            </a:solidFill>
          </a:endParaRPr>
        </a:p>
      </xdr:txBody>
    </xdr:sp>
    <xdr:clientData/>
  </xdr:twoCellAnchor>
  <xdr:twoCellAnchor>
    <xdr:from>
      <xdr:col>0</xdr:col>
      <xdr:colOff>548640</xdr:colOff>
      <xdr:row>16</xdr:row>
      <xdr:rowOff>7620</xdr:rowOff>
    </xdr:from>
    <xdr:to>
      <xdr:col>4</xdr:col>
      <xdr:colOff>76200</xdr:colOff>
      <xdr:row>18</xdr:row>
      <xdr:rowOff>167640</xdr:rowOff>
    </xdr:to>
    <xdr:sp macro="" textlink="Clean_Data!R8">
      <xdr:nvSpPr>
        <xdr:cNvPr id="12" name="Rectangle: Rounded Corners 11">
          <a:extLst>
            <a:ext uri="{FF2B5EF4-FFF2-40B4-BE49-F238E27FC236}">
              <a16:creationId xmlns:a16="http://schemas.microsoft.com/office/drawing/2014/main" id="{475D8978-3830-49F6-B523-3410D9E5FF06}"/>
            </a:ext>
          </a:extLst>
        </xdr:cNvPr>
        <xdr:cNvSpPr/>
      </xdr:nvSpPr>
      <xdr:spPr>
        <a:xfrm>
          <a:off x="548640" y="2918460"/>
          <a:ext cx="1965960" cy="5257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t>Total Orders</a:t>
          </a:r>
          <a:br>
            <a:rPr lang="en-US" sz="1000"/>
          </a:br>
          <a:fld id="{2813AD40-D198-4DCC-AADF-73BE638A1E5A}" type="TxLink">
            <a:rPr lang="en-US" sz="1000" b="1" i="0" u="none" strike="noStrike">
              <a:solidFill>
                <a:srgbClr val="000000"/>
              </a:solidFill>
              <a:latin typeface="Arial"/>
              <a:cs typeface="Arial"/>
            </a:rPr>
            <a:t>60</a:t>
          </a:fld>
          <a:endParaRPr lang="en-US" sz="1100">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182880</xdr:colOff>
      <xdr:row>7</xdr:row>
      <xdr:rowOff>49530</xdr:rowOff>
    </xdr:from>
    <xdr:to>
      <xdr:col>17</xdr:col>
      <xdr:colOff>243840</xdr:colOff>
      <xdr:row>22</xdr:row>
      <xdr:rowOff>49530</xdr:rowOff>
    </xdr:to>
    <xdr:graphicFrame macro="">
      <xdr:nvGraphicFramePr>
        <xdr:cNvPr id="4" name="Chart 3">
          <a:extLst>
            <a:ext uri="{FF2B5EF4-FFF2-40B4-BE49-F238E27FC236}">
              <a16:creationId xmlns:a16="http://schemas.microsoft.com/office/drawing/2014/main" id="{DBBC833A-A5D4-11D4-0745-5F4B2BCC28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251460</xdr:colOff>
      <xdr:row>16</xdr:row>
      <xdr:rowOff>140970</xdr:rowOff>
    </xdr:from>
    <xdr:to>
      <xdr:col>24</xdr:col>
      <xdr:colOff>381000</xdr:colOff>
      <xdr:row>31</xdr:row>
      <xdr:rowOff>140970</xdr:rowOff>
    </xdr:to>
    <xdr:graphicFrame macro="">
      <xdr:nvGraphicFramePr>
        <xdr:cNvPr id="6" name="Chart 5">
          <a:extLst>
            <a:ext uri="{FF2B5EF4-FFF2-40B4-BE49-F238E27FC236}">
              <a16:creationId xmlns:a16="http://schemas.microsoft.com/office/drawing/2014/main" id="{388EBE16-4DB8-0596-8DB1-E45E9BB40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99060</xdr:colOff>
      <xdr:row>22</xdr:row>
      <xdr:rowOff>125730</xdr:rowOff>
    </xdr:from>
    <xdr:to>
      <xdr:col>16</xdr:col>
      <xdr:colOff>335280</xdr:colOff>
      <xdr:row>37</xdr:row>
      <xdr:rowOff>125730</xdr:rowOff>
    </xdr:to>
    <xdr:graphicFrame macro="">
      <xdr:nvGraphicFramePr>
        <xdr:cNvPr id="8" name="Chart 7">
          <a:extLst>
            <a:ext uri="{FF2B5EF4-FFF2-40B4-BE49-F238E27FC236}">
              <a16:creationId xmlns:a16="http://schemas.microsoft.com/office/drawing/2014/main" id="{C59A78D4-A185-41B6-937D-8F98409D76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28</xdr:col>
      <xdr:colOff>281940</xdr:colOff>
      <xdr:row>1</xdr:row>
      <xdr:rowOff>137160</xdr:rowOff>
    </xdr:from>
    <xdr:to>
      <xdr:col>31</xdr:col>
      <xdr:colOff>281940</xdr:colOff>
      <xdr:row>15</xdr:row>
      <xdr:rowOff>158115</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D41EDE11-4B17-A335-AC59-35E412F0C7A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149060" y="3200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274320</xdr:colOff>
      <xdr:row>2</xdr:row>
      <xdr:rowOff>45720</xdr:rowOff>
    </xdr:from>
    <xdr:to>
      <xdr:col>28</xdr:col>
      <xdr:colOff>274320</xdr:colOff>
      <xdr:row>16</xdr:row>
      <xdr:rowOff>66675</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348A5202-DF47-2328-CE95-2F4A993FA7B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7312640" y="4114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 refreshedDate="46147.414229745373" createdVersion="8" refreshedVersion="8" minRefreshableVersion="3" recordCount="60" xr:uid="{39B08104-7010-4262-BD3B-2D22EB88FD7B}">
  <cacheSource type="worksheet">
    <worksheetSource ref="A1:H61" sheet="Raw_Data"/>
  </cacheSource>
  <cacheFields count="8">
    <cacheField name="Order_ID" numFmtId="0">
      <sharedItems containsSemiMixedTypes="0" containsString="0" containsNumber="1" containsInteger="1" minValue="1001" maxValue="1060"/>
    </cacheField>
    <cacheField name="Date" numFmtId="0">
      <sharedItems containsDate="1" containsMixedTypes="1" minDate="2024-01-01T00:00:00" maxDate="2024-12-03T00:00:00"/>
    </cacheField>
    <cacheField name="Customer" numFmtId="0">
      <sharedItems/>
    </cacheField>
    <cacheField name="Region" numFmtId="0">
      <sharedItems count="4">
        <s v="West"/>
        <s v="North"/>
        <s v="South"/>
        <s v="East"/>
      </sharedItems>
    </cacheField>
    <cacheField name="Product" numFmtId="0">
      <sharedItems count="6">
        <s v="Laptop"/>
        <s v="Phone"/>
        <s v="Chair"/>
        <s v="Table"/>
        <s v="Headphones"/>
        <s v="Sofa"/>
      </sharedItems>
    </cacheField>
    <cacheField name="Category" numFmtId="0">
      <sharedItems count="2">
        <s v="Electronics"/>
        <s v="Furniture"/>
      </sharedItems>
    </cacheField>
    <cacheField name="Sales" numFmtId="0">
      <sharedItems containsSemiMixedTypes="0" containsString="0" containsNumber="1" containsInteger="1" minValue="3000" maxValue="61000"/>
    </cacheField>
    <cacheField name="Profit" numFmtId="0">
      <sharedItems containsSemiMixedTypes="0" containsString="0" containsNumber="1" containsInteger="1" minValue="500" maxValue="102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 refreshedDate="46147.420614120369" createdVersion="8" refreshedVersion="8" minRefreshableVersion="3" recordCount="60" xr:uid="{C649AB51-40CB-4CB3-861B-58E49A35A096}">
  <cacheSource type="worksheet">
    <worksheetSource ref="A1:I61" sheet="Raw_Data"/>
  </cacheSource>
  <cacheFields count="9">
    <cacheField name="Order_ID" numFmtId="0">
      <sharedItems containsSemiMixedTypes="0" containsString="0" containsNumber="1" containsInteger="1" minValue="1001" maxValue="1060"/>
    </cacheField>
    <cacheField name="Date" numFmtId="164">
      <sharedItems containsSemiMixedTypes="0" containsNonDate="0" containsDate="1" containsString="0" minDate="2021-01-01T00:00:00" maxDate="2025-12-02T00:00:00"/>
    </cacheField>
    <cacheField name="Customer" numFmtId="0">
      <sharedItems/>
    </cacheField>
    <cacheField name="Region" numFmtId="0">
      <sharedItems/>
    </cacheField>
    <cacheField name="Product" numFmtId="0">
      <sharedItems/>
    </cacheField>
    <cacheField name="Category" numFmtId="0">
      <sharedItems/>
    </cacheField>
    <cacheField name="Sales" numFmtId="0">
      <sharedItems containsSemiMixedTypes="0" containsString="0" containsNumber="1" containsInteger="1" minValue="3000" maxValue="61000"/>
    </cacheField>
    <cacheField name="Profit" numFmtId="0">
      <sharedItems containsSemiMixedTypes="0" containsString="0" containsNumber="1" containsInteger="1" minValue="500" maxValue="10200"/>
    </cacheField>
    <cacheField name="Month"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 refreshedDate="46148.884917708332" createdVersion="8" refreshedVersion="8" minRefreshableVersion="3" recordCount="60" xr:uid="{A24B05B4-96B5-4F89-8495-19C5AE7AE722}">
  <cacheSource type="worksheet">
    <worksheetSource ref="A2:J62" sheet="pivot tables"/>
  </cacheSource>
  <cacheFields count="10">
    <cacheField name="Order_ID" numFmtId="0">
      <sharedItems containsSemiMixedTypes="0" containsString="0" containsNumber="1" containsInteger="1" minValue="1001" maxValue="1060"/>
    </cacheField>
    <cacheField name="Date" numFmtId="164">
      <sharedItems containsSemiMixedTypes="0" containsNonDate="0" containsDate="1" containsString="0" minDate="2021-01-01T00:00:00" maxDate="2025-12-02T00:00:00"/>
    </cacheField>
    <cacheField name="Customer" numFmtId="0">
      <sharedItems/>
    </cacheField>
    <cacheField name="Region" numFmtId="0">
      <sharedItems count="4">
        <s v="West"/>
        <s v="North"/>
        <s v="South"/>
        <s v="East"/>
      </sharedItems>
    </cacheField>
    <cacheField name="Product" numFmtId="0">
      <sharedItems count="6">
        <s v="Laptop"/>
        <s v="Phone"/>
        <s v="Chair"/>
        <s v="Table"/>
        <s v="Headphones"/>
        <s v="Sofa"/>
      </sharedItems>
    </cacheField>
    <cacheField name="Category" numFmtId="0">
      <sharedItems count="2">
        <s v="Electronics"/>
        <s v="Furniture"/>
      </sharedItems>
    </cacheField>
    <cacheField name="Sales" numFmtId="0">
      <sharedItems containsSemiMixedTypes="0" containsString="0" containsNumber="1" containsInteger="1" minValue="3000" maxValue="61000"/>
    </cacheField>
    <cacheField name="Profit" numFmtId="0">
      <sharedItems containsSemiMixedTypes="0" containsString="0" containsNumber="1" containsInteger="1" minValue="500" maxValue="10200" count="48">
        <n v="8000"/>
        <n v="3000"/>
        <n v="1500"/>
        <n v="2500"/>
        <n v="500"/>
        <n v="8200"/>
        <n v="6000"/>
        <n v="2800"/>
        <n v="7500"/>
        <n v="1700"/>
        <n v="600"/>
        <n v="6500"/>
        <n v="3200"/>
        <n v="2600"/>
        <n v="8100"/>
        <n v="1800"/>
        <n v="3100"/>
        <n v="6200"/>
        <n v="700"/>
        <n v="8300"/>
        <n v="3500"/>
        <n v="1600"/>
        <n v="800"/>
        <n v="9000"/>
        <n v="6800"/>
        <n v="2900"/>
        <n v="7200"/>
        <n v="650"/>
        <n v="7000"/>
        <n v="4000"/>
        <n v="3400"/>
        <n v="10000"/>
        <n v="2000"/>
        <n v="3300"/>
        <n v="900"/>
        <n v="8500"/>
        <n v="3600"/>
        <n v="1650"/>
        <n v="850"/>
        <n v="9200"/>
        <n v="6900"/>
        <n v="7600"/>
        <n v="1750"/>
        <n v="4100"/>
        <n v="10200"/>
        <n v="2100"/>
        <n v="7700"/>
        <n v="950"/>
      </sharedItems>
    </cacheField>
    <cacheField name="format date" numFmtId="0">
      <sharedItems/>
    </cacheField>
    <cacheField name="month"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0276243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n v="1001"/>
    <d v="2024-01-01T00:00:00"/>
    <s v="Riya"/>
    <x v="0"/>
    <x v="0"/>
    <x v="0"/>
    <n v="50000"/>
    <n v="8000"/>
  </r>
  <r>
    <n v="1002"/>
    <d v="2024-02-01T00:00:00"/>
    <s v="Aarav"/>
    <x v="1"/>
    <x v="1"/>
    <x v="0"/>
    <n v="20000"/>
    <n v="3000"/>
  </r>
  <r>
    <n v="1003"/>
    <d v="2024-03-01T00:00:00"/>
    <s v="Kavya"/>
    <x v="2"/>
    <x v="2"/>
    <x v="1"/>
    <n v="7000"/>
    <n v="1500"/>
  </r>
  <r>
    <n v="1004"/>
    <d v="2024-04-01T00:00:00"/>
    <s v="Vivaan"/>
    <x v="3"/>
    <x v="3"/>
    <x v="1"/>
    <n v="12000"/>
    <n v="2500"/>
  </r>
  <r>
    <n v="1005"/>
    <d v="2024-05-01T00:00:00"/>
    <s v="Meera"/>
    <x v="0"/>
    <x v="4"/>
    <x v="0"/>
    <n v="3000"/>
    <n v="500"/>
  </r>
  <r>
    <n v="1006"/>
    <d v="2024-06-01T00:00:00"/>
    <s v="Arjun"/>
    <x v="1"/>
    <x v="0"/>
    <x v="0"/>
    <n v="52000"/>
    <n v="8200"/>
  </r>
  <r>
    <n v="1007"/>
    <d v="2024-07-01T00:00:00"/>
    <s v="Ananya"/>
    <x v="2"/>
    <x v="5"/>
    <x v="1"/>
    <n v="25000"/>
    <n v="6000"/>
  </r>
  <r>
    <n v="1008"/>
    <d v="2024-08-01T00:00:00"/>
    <s v="Ishaan"/>
    <x v="3"/>
    <x v="1"/>
    <x v="0"/>
    <n v="18000"/>
    <n v="2500"/>
  </r>
  <r>
    <n v="1009"/>
    <d v="2024-09-01T00:00:00"/>
    <s v="Priya"/>
    <x v="0"/>
    <x v="3"/>
    <x v="1"/>
    <n v="14000"/>
    <n v="2800"/>
  </r>
  <r>
    <n v="1010"/>
    <d v="2024-10-01T00:00:00"/>
    <s v="Dev"/>
    <x v="1"/>
    <x v="0"/>
    <x v="0"/>
    <n v="48000"/>
    <n v="7500"/>
  </r>
  <r>
    <n v="1011"/>
    <d v="2024-11-01T00:00:00"/>
    <s v="Riya"/>
    <x v="2"/>
    <x v="2"/>
    <x v="1"/>
    <n v="8000"/>
    <n v="1700"/>
  </r>
  <r>
    <n v="1012"/>
    <d v="2024-12-01T00:00:00"/>
    <s v="Aarav"/>
    <x v="3"/>
    <x v="4"/>
    <x v="0"/>
    <n v="3500"/>
    <n v="600"/>
  </r>
  <r>
    <n v="1013"/>
    <s v="13-01-2024"/>
    <s v="Kavya"/>
    <x v="0"/>
    <x v="5"/>
    <x v="1"/>
    <n v="27000"/>
    <n v="6500"/>
  </r>
  <r>
    <n v="1014"/>
    <s v="14-01-2024"/>
    <s v="Vivaan"/>
    <x v="1"/>
    <x v="1"/>
    <x v="0"/>
    <n v="22000"/>
    <n v="3200"/>
  </r>
  <r>
    <n v="1015"/>
    <s v="15-01-2024"/>
    <s v="Meera"/>
    <x v="2"/>
    <x v="3"/>
    <x v="1"/>
    <n v="13000"/>
    <n v="2600"/>
  </r>
  <r>
    <n v="1016"/>
    <s v="16-01-2024"/>
    <s v="Arjun"/>
    <x v="3"/>
    <x v="0"/>
    <x v="0"/>
    <n v="51000"/>
    <n v="8100"/>
  </r>
  <r>
    <n v="1017"/>
    <s v="17-01-2024"/>
    <s v="Ananya"/>
    <x v="0"/>
    <x v="2"/>
    <x v="1"/>
    <n v="9000"/>
    <n v="1800"/>
  </r>
  <r>
    <n v="1018"/>
    <s v="18-01-2024"/>
    <s v="Ishaan"/>
    <x v="1"/>
    <x v="1"/>
    <x v="0"/>
    <n v="21000"/>
    <n v="3100"/>
  </r>
  <r>
    <n v="1019"/>
    <s v="19-01-2024"/>
    <s v="Priya"/>
    <x v="2"/>
    <x v="5"/>
    <x v="1"/>
    <n v="26000"/>
    <n v="6200"/>
  </r>
  <r>
    <n v="1020"/>
    <s v="20-01-2024"/>
    <s v="Dev"/>
    <x v="3"/>
    <x v="4"/>
    <x v="0"/>
    <n v="4000"/>
    <n v="700"/>
  </r>
  <r>
    <n v="1021"/>
    <s v="21-01-2024"/>
    <s v="Riya"/>
    <x v="0"/>
    <x v="0"/>
    <x v="0"/>
    <n v="53000"/>
    <n v="8300"/>
  </r>
  <r>
    <n v="1022"/>
    <s v="22-01-2024"/>
    <s v="Aarav"/>
    <x v="1"/>
    <x v="1"/>
    <x v="0"/>
    <n v="24000"/>
    <n v="3500"/>
  </r>
  <r>
    <n v="1023"/>
    <s v="23-01-2024"/>
    <s v="Kavya"/>
    <x v="2"/>
    <x v="2"/>
    <x v="1"/>
    <n v="7500"/>
    <n v="1600"/>
  </r>
  <r>
    <n v="1024"/>
    <s v="24-01-2024"/>
    <s v="Vivaan"/>
    <x v="3"/>
    <x v="3"/>
    <x v="1"/>
    <n v="15000"/>
    <n v="3000"/>
  </r>
  <r>
    <n v="1025"/>
    <s v="25-01-2024"/>
    <s v="Meera"/>
    <x v="0"/>
    <x v="4"/>
    <x v="0"/>
    <n v="4500"/>
    <n v="800"/>
  </r>
  <r>
    <n v="1026"/>
    <s v="26-01-2024"/>
    <s v="Arjun"/>
    <x v="1"/>
    <x v="0"/>
    <x v="0"/>
    <n v="55000"/>
    <n v="9000"/>
  </r>
  <r>
    <n v="1027"/>
    <s v="27-01-2024"/>
    <s v="Ananya"/>
    <x v="2"/>
    <x v="5"/>
    <x v="1"/>
    <n v="28000"/>
    <n v="6800"/>
  </r>
  <r>
    <n v="1028"/>
    <s v="28-01-2024"/>
    <s v="Ishaan"/>
    <x v="3"/>
    <x v="1"/>
    <x v="0"/>
    <n v="20000"/>
    <n v="2900"/>
  </r>
  <r>
    <n v="1029"/>
    <s v="29-01-2024"/>
    <s v="Priya"/>
    <x v="0"/>
    <x v="3"/>
    <x v="1"/>
    <n v="16000"/>
    <n v="3200"/>
  </r>
  <r>
    <n v="1030"/>
    <s v="30-01-2024"/>
    <s v="Dev"/>
    <x v="1"/>
    <x v="0"/>
    <x v="0"/>
    <n v="47000"/>
    <n v="7200"/>
  </r>
  <r>
    <n v="1031"/>
    <s v="31-01-2024"/>
    <s v="Riya"/>
    <x v="2"/>
    <x v="2"/>
    <x v="1"/>
    <n v="8200"/>
    <n v="1700"/>
  </r>
  <r>
    <n v="1032"/>
    <d v="2024-01-02T00:00:00"/>
    <s v="Aarav"/>
    <x v="3"/>
    <x v="4"/>
    <x v="0"/>
    <n v="3800"/>
    <n v="650"/>
  </r>
  <r>
    <n v="1033"/>
    <d v="2024-02-02T00:00:00"/>
    <s v="Kavya"/>
    <x v="0"/>
    <x v="5"/>
    <x v="1"/>
    <n v="29000"/>
    <n v="7000"/>
  </r>
  <r>
    <n v="1034"/>
    <d v="2024-03-02T00:00:00"/>
    <s v="Vivaan"/>
    <x v="1"/>
    <x v="1"/>
    <x v="0"/>
    <n v="26000"/>
    <n v="4000"/>
  </r>
  <r>
    <n v="1035"/>
    <d v="2024-04-02T00:00:00"/>
    <s v="Meera"/>
    <x v="2"/>
    <x v="3"/>
    <x v="1"/>
    <n v="17000"/>
    <n v="3400"/>
  </r>
  <r>
    <n v="1036"/>
    <d v="2024-05-02T00:00:00"/>
    <s v="Arjun"/>
    <x v="3"/>
    <x v="0"/>
    <x v="0"/>
    <n v="60000"/>
    <n v="10000"/>
  </r>
  <r>
    <n v="1037"/>
    <d v="2024-06-02T00:00:00"/>
    <s v="Ananya"/>
    <x v="0"/>
    <x v="2"/>
    <x v="1"/>
    <n v="9500"/>
    <n v="2000"/>
  </r>
  <r>
    <n v="1038"/>
    <d v="2024-07-02T00:00:00"/>
    <s v="Ishaan"/>
    <x v="1"/>
    <x v="1"/>
    <x v="0"/>
    <n v="23000"/>
    <n v="3300"/>
  </r>
  <r>
    <n v="1039"/>
    <d v="2024-08-02T00:00:00"/>
    <s v="Priya"/>
    <x v="2"/>
    <x v="5"/>
    <x v="1"/>
    <n v="30000"/>
    <n v="7500"/>
  </r>
  <r>
    <n v="1040"/>
    <d v="2024-09-02T00:00:00"/>
    <s v="Dev"/>
    <x v="3"/>
    <x v="4"/>
    <x v="0"/>
    <n v="5000"/>
    <n v="900"/>
  </r>
  <r>
    <n v="1041"/>
    <d v="2024-10-02T00:00:00"/>
    <s v="Riya"/>
    <x v="0"/>
    <x v="0"/>
    <x v="0"/>
    <n v="54000"/>
    <n v="8500"/>
  </r>
  <r>
    <n v="1042"/>
    <d v="2024-11-02T00:00:00"/>
    <s v="Aarav"/>
    <x v="1"/>
    <x v="1"/>
    <x v="0"/>
    <n v="25000"/>
    <n v="3600"/>
  </r>
  <r>
    <n v="1043"/>
    <d v="2024-12-02T00:00:00"/>
    <s v="Kavya"/>
    <x v="2"/>
    <x v="2"/>
    <x v="1"/>
    <n v="7800"/>
    <n v="1650"/>
  </r>
  <r>
    <n v="1044"/>
    <s v="13-02-2024"/>
    <s v="Vivaan"/>
    <x v="3"/>
    <x v="3"/>
    <x v="1"/>
    <n v="15500"/>
    <n v="3100"/>
  </r>
  <r>
    <n v="1045"/>
    <s v="14-02-2024"/>
    <s v="Meera"/>
    <x v="0"/>
    <x v="4"/>
    <x v="0"/>
    <n v="4800"/>
    <n v="850"/>
  </r>
  <r>
    <n v="1046"/>
    <s v="15-02-2024"/>
    <s v="Arjun"/>
    <x v="1"/>
    <x v="0"/>
    <x v="0"/>
    <n v="56000"/>
    <n v="9200"/>
  </r>
  <r>
    <n v="1047"/>
    <s v="16-02-2024"/>
    <s v="Ananya"/>
    <x v="2"/>
    <x v="5"/>
    <x v="1"/>
    <n v="28500"/>
    <n v="6900"/>
  </r>
  <r>
    <n v="1048"/>
    <s v="17-02-2024"/>
    <s v="Ishaan"/>
    <x v="3"/>
    <x v="1"/>
    <x v="0"/>
    <n v="21000"/>
    <n v="3000"/>
  </r>
  <r>
    <n v="1049"/>
    <s v="18-02-2024"/>
    <s v="Priya"/>
    <x v="0"/>
    <x v="3"/>
    <x v="1"/>
    <n v="16500"/>
    <n v="3300"/>
  </r>
  <r>
    <n v="1050"/>
    <s v="19-02-2024"/>
    <s v="Dev"/>
    <x v="1"/>
    <x v="0"/>
    <x v="0"/>
    <n v="49000"/>
    <n v="7600"/>
  </r>
  <r>
    <n v="1051"/>
    <s v="20-02-2024"/>
    <s v="Riya"/>
    <x v="2"/>
    <x v="2"/>
    <x v="1"/>
    <n v="8300"/>
    <n v="1750"/>
  </r>
  <r>
    <n v="1052"/>
    <s v="21-02-2024"/>
    <s v="Aarav"/>
    <x v="3"/>
    <x v="4"/>
    <x v="0"/>
    <n v="4000"/>
    <n v="700"/>
  </r>
  <r>
    <n v="1053"/>
    <s v="22-02-2024"/>
    <s v="Kavya"/>
    <x v="0"/>
    <x v="5"/>
    <x v="1"/>
    <n v="30000"/>
    <n v="7200"/>
  </r>
  <r>
    <n v="1054"/>
    <s v="23-02-2024"/>
    <s v="Vivaan"/>
    <x v="1"/>
    <x v="1"/>
    <x v="0"/>
    <n v="27000"/>
    <n v="4100"/>
  </r>
  <r>
    <n v="1055"/>
    <s v="24-02-2024"/>
    <s v="Meera"/>
    <x v="2"/>
    <x v="3"/>
    <x v="1"/>
    <n v="17500"/>
    <n v="3500"/>
  </r>
  <r>
    <n v="1056"/>
    <s v="25-02-2024"/>
    <s v="Arjun"/>
    <x v="3"/>
    <x v="0"/>
    <x v="0"/>
    <n v="61000"/>
    <n v="10200"/>
  </r>
  <r>
    <n v="1057"/>
    <s v="26-02-2024"/>
    <s v="Ananya"/>
    <x v="0"/>
    <x v="2"/>
    <x v="1"/>
    <n v="9800"/>
    <n v="2100"/>
  </r>
  <r>
    <n v="1058"/>
    <s v="27-02-2024"/>
    <s v="Ishaan"/>
    <x v="1"/>
    <x v="1"/>
    <x v="0"/>
    <n v="24000"/>
    <n v="3400"/>
  </r>
  <r>
    <n v="1059"/>
    <s v="28-02-2024"/>
    <s v="Priya"/>
    <x v="2"/>
    <x v="5"/>
    <x v="1"/>
    <n v="31000"/>
    <n v="7700"/>
  </r>
  <r>
    <n v="1060"/>
    <s v="29-02-2024"/>
    <s v="Dev"/>
    <x v="3"/>
    <x v="4"/>
    <x v="0"/>
    <n v="5200"/>
    <n v="95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n v="1001"/>
    <d v="2024-01-01T00:00:00"/>
    <s v="Riya"/>
    <s v="West"/>
    <s v="Laptop"/>
    <s v="Electronics"/>
    <n v="50000"/>
    <n v="8000"/>
    <x v="0"/>
  </r>
  <r>
    <n v="1002"/>
    <d v="2024-02-01T00:00:00"/>
    <s v="Aarav"/>
    <s v="North"/>
    <s v="Phone"/>
    <s v="Electronics"/>
    <n v="20000"/>
    <n v="3000"/>
    <x v="1"/>
  </r>
  <r>
    <n v="1003"/>
    <d v="2024-03-01T00:00:00"/>
    <s v="Kavya"/>
    <s v="South"/>
    <s v="Chair"/>
    <s v="Furniture"/>
    <n v="7000"/>
    <n v="1500"/>
    <x v="2"/>
  </r>
  <r>
    <n v="1004"/>
    <d v="2024-04-01T00:00:00"/>
    <s v="Vivaan"/>
    <s v="East"/>
    <s v="Table"/>
    <s v="Furniture"/>
    <n v="12000"/>
    <n v="2500"/>
    <x v="3"/>
  </r>
  <r>
    <n v="1005"/>
    <d v="2024-05-01T00:00:00"/>
    <s v="Meera"/>
    <s v="West"/>
    <s v="Headphones"/>
    <s v="Electronics"/>
    <n v="3000"/>
    <n v="500"/>
    <x v="4"/>
  </r>
  <r>
    <n v="1006"/>
    <d v="2024-06-01T00:00:00"/>
    <s v="Arjun"/>
    <s v="North"/>
    <s v="Laptop"/>
    <s v="Electronics"/>
    <n v="52000"/>
    <n v="8200"/>
    <x v="5"/>
  </r>
  <r>
    <n v="1007"/>
    <d v="2024-07-01T00:00:00"/>
    <s v="Ananya"/>
    <s v="South"/>
    <s v="Sofa"/>
    <s v="Furniture"/>
    <n v="25000"/>
    <n v="6000"/>
    <x v="6"/>
  </r>
  <r>
    <n v="1008"/>
    <d v="2024-08-01T00:00:00"/>
    <s v="Ishaan"/>
    <s v="East"/>
    <s v="Phone"/>
    <s v="Electronics"/>
    <n v="18000"/>
    <n v="2500"/>
    <x v="7"/>
  </r>
  <r>
    <n v="1009"/>
    <d v="2024-09-01T00:00:00"/>
    <s v="Priya"/>
    <s v="West"/>
    <s v="Table"/>
    <s v="Furniture"/>
    <n v="14000"/>
    <n v="2800"/>
    <x v="8"/>
  </r>
  <r>
    <n v="1010"/>
    <d v="2024-10-01T00:00:00"/>
    <s v="Dev"/>
    <s v="North"/>
    <s v="Laptop"/>
    <s v="Electronics"/>
    <n v="48000"/>
    <n v="7500"/>
    <x v="9"/>
  </r>
  <r>
    <n v="1011"/>
    <d v="2024-11-01T00:00:00"/>
    <s v="Riya"/>
    <s v="South"/>
    <s v="Chair"/>
    <s v="Furniture"/>
    <n v="8000"/>
    <n v="1700"/>
    <x v="10"/>
  </r>
  <r>
    <n v="1012"/>
    <d v="2024-12-01T00:00:00"/>
    <s v="Aarav"/>
    <s v="East"/>
    <s v="Headphones"/>
    <s v="Electronics"/>
    <n v="3500"/>
    <n v="600"/>
    <x v="11"/>
  </r>
  <r>
    <n v="1013"/>
    <d v="2025-01-01T00:00:00"/>
    <s v="Kavya"/>
    <s v="West"/>
    <s v="Sofa"/>
    <s v="Furniture"/>
    <n v="27000"/>
    <n v="6500"/>
    <x v="0"/>
  </r>
  <r>
    <n v="1014"/>
    <d v="2025-02-01T00:00:00"/>
    <s v="Vivaan"/>
    <s v="North"/>
    <s v="Phone"/>
    <s v="Electronics"/>
    <n v="22000"/>
    <n v="3200"/>
    <x v="1"/>
  </r>
  <r>
    <n v="1015"/>
    <d v="2025-03-01T00:00:00"/>
    <s v="Meera"/>
    <s v="South"/>
    <s v="Table"/>
    <s v="Furniture"/>
    <n v="13000"/>
    <n v="2600"/>
    <x v="2"/>
  </r>
  <r>
    <n v="1016"/>
    <d v="2025-04-01T00:00:00"/>
    <s v="Arjun"/>
    <s v="East"/>
    <s v="Laptop"/>
    <s v="Electronics"/>
    <n v="51000"/>
    <n v="8100"/>
    <x v="3"/>
  </r>
  <r>
    <n v="1017"/>
    <d v="2025-05-01T00:00:00"/>
    <s v="Ananya"/>
    <s v="West"/>
    <s v="Chair"/>
    <s v="Furniture"/>
    <n v="9000"/>
    <n v="1800"/>
    <x v="4"/>
  </r>
  <r>
    <n v="1018"/>
    <d v="2025-06-01T00:00:00"/>
    <s v="Ishaan"/>
    <s v="North"/>
    <s v="Phone"/>
    <s v="Electronics"/>
    <n v="21000"/>
    <n v="3100"/>
    <x v="5"/>
  </r>
  <r>
    <n v="1019"/>
    <d v="2025-07-01T00:00:00"/>
    <s v="Priya"/>
    <s v="South"/>
    <s v="Sofa"/>
    <s v="Furniture"/>
    <n v="26000"/>
    <n v="6200"/>
    <x v="6"/>
  </r>
  <r>
    <n v="1020"/>
    <d v="2025-08-01T00:00:00"/>
    <s v="Dev"/>
    <s v="East"/>
    <s v="Headphones"/>
    <s v="Electronics"/>
    <n v="4000"/>
    <n v="700"/>
    <x v="7"/>
  </r>
  <r>
    <n v="1021"/>
    <d v="2025-09-01T00:00:00"/>
    <s v="Riya"/>
    <s v="West"/>
    <s v="Laptop"/>
    <s v="Electronics"/>
    <n v="53000"/>
    <n v="8300"/>
    <x v="8"/>
  </r>
  <r>
    <n v="1022"/>
    <d v="2025-10-01T00:00:00"/>
    <s v="Aarav"/>
    <s v="North"/>
    <s v="Phone"/>
    <s v="Electronics"/>
    <n v="24000"/>
    <n v="3500"/>
    <x v="9"/>
  </r>
  <r>
    <n v="1023"/>
    <d v="2025-11-01T00:00:00"/>
    <s v="Kavya"/>
    <s v="South"/>
    <s v="Chair"/>
    <s v="Furniture"/>
    <n v="7500"/>
    <n v="1600"/>
    <x v="10"/>
  </r>
  <r>
    <n v="1024"/>
    <d v="2025-12-01T00:00:00"/>
    <s v="Vivaan"/>
    <s v="East"/>
    <s v="Table"/>
    <s v="Furniture"/>
    <n v="15000"/>
    <n v="3000"/>
    <x v="11"/>
  </r>
  <r>
    <n v="1025"/>
    <d v="2023-01-01T00:00:00"/>
    <s v="Meera"/>
    <s v="West"/>
    <s v="Headphones"/>
    <s v="Electronics"/>
    <n v="4500"/>
    <n v="800"/>
    <x v="0"/>
  </r>
  <r>
    <n v="1026"/>
    <d v="2023-02-01T00:00:00"/>
    <s v="Arjun"/>
    <s v="North"/>
    <s v="Laptop"/>
    <s v="Electronics"/>
    <n v="55000"/>
    <n v="9000"/>
    <x v="1"/>
  </r>
  <r>
    <n v="1027"/>
    <d v="2023-03-01T00:00:00"/>
    <s v="Ananya"/>
    <s v="South"/>
    <s v="Sofa"/>
    <s v="Furniture"/>
    <n v="28000"/>
    <n v="6800"/>
    <x v="2"/>
  </r>
  <r>
    <n v="1028"/>
    <d v="2023-04-01T00:00:00"/>
    <s v="Ishaan"/>
    <s v="East"/>
    <s v="Phone"/>
    <s v="Electronics"/>
    <n v="20000"/>
    <n v="2900"/>
    <x v="3"/>
  </r>
  <r>
    <n v="1029"/>
    <d v="2023-05-01T00:00:00"/>
    <s v="Priya"/>
    <s v="West"/>
    <s v="Table"/>
    <s v="Furniture"/>
    <n v="16000"/>
    <n v="3200"/>
    <x v="4"/>
  </r>
  <r>
    <n v="1030"/>
    <d v="2023-06-01T00:00:00"/>
    <s v="Dev"/>
    <s v="North"/>
    <s v="Laptop"/>
    <s v="Electronics"/>
    <n v="47000"/>
    <n v="7200"/>
    <x v="5"/>
  </r>
  <r>
    <n v="1031"/>
    <d v="2023-07-01T00:00:00"/>
    <s v="Riya"/>
    <s v="South"/>
    <s v="Chair"/>
    <s v="Furniture"/>
    <n v="8200"/>
    <n v="1700"/>
    <x v="6"/>
  </r>
  <r>
    <n v="1032"/>
    <d v="2023-08-01T00:00:00"/>
    <s v="Aarav"/>
    <s v="East"/>
    <s v="Headphones"/>
    <s v="Electronics"/>
    <n v="3800"/>
    <n v="650"/>
    <x v="7"/>
  </r>
  <r>
    <n v="1033"/>
    <d v="2023-09-01T00:00:00"/>
    <s v="Kavya"/>
    <s v="West"/>
    <s v="Sofa"/>
    <s v="Furniture"/>
    <n v="29000"/>
    <n v="7000"/>
    <x v="8"/>
  </r>
  <r>
    <n v="1034"/>
    <d v="2023-10-01T00:00:00"/>
    <s v="Vivaan"/>
    <s v="North"/>
    <s v="Phone"/>
    <s v="Electronics"/>
    <n v="26000"/>
    <n v="4000"/>
    <x v="9"/>
  </r>
  <r>
    <n v="1035"/>
    <d v="2023-11-01T00:00:00"/>
    <s v="Meera"/>
    <s v="South"/>
    <s v="Table"/>
    <s v="Furniture"/>
    <n v="17000"/>
    <n v="3400"/>
    <x v="10"/>
  </r>
  <r>
    <n v="1036"/>
    <d v="2023-12-01T00:00:00"/>
    <s v="Arjun"/>
    <s v="East"/>
    <s v="Laptop"/>
    <s v="Electronics"/>
    <n v="60000"/>
    <n v="10000"/>
    <x v="11"/>
  </r>
  <r>
    <n v="1037"/>
    <d v="2022-01-01T00:00:00"/>
    <s v="Ananya"/>
    <s v="West"/>
    <s v="Chair"/>
    <s v="Furniture"/>
    <n v="9500"/>
    <n v="2000"/>
    <x v="0"/>
  </r>
  <r>
    <n v="1038"/>
    <d v="2022-02-01T00:00:00"/>
    <s v="Ishaan"/>
    <s v="North"/>
    <s v="Phone"/>
    <s v="Electronics"/>
    <n v="23000"/>
    <n v="3300"/>
    <x v="1"/>
  </r>
  <r>
    <n v="1039"/>
    <d v="2022-03-01T00:00:00"/>
    <s v="Priya"/>
    <s v="South"/>
    <s v="Sofa"/>
    <s v="Furniture"/>
    <n v="30000"/>
    <n v="7500"/>
    <x v="2"/>
  </r>
  <r>
    <n v="1040"/>
    <d v="2022-04-01T00:00:00"/>
    <s v="Dev"/>
    <s v="East"/>
    <s v="Headphones"/>
    <s v="Electronics"/>
    <n v="5000"/>
    <n v="900"/>
    <x v="3"/>
  </r>
  <r>
    <n v="1041"/>
    <d v="2022-05-01T00:00:00"/>
    <s v="Riya"/>
    <s v="West"/>
    <s v="Laptop"/>
    <s v="Electronics"/>
    <n v="54000"/>
    <n v="8500"/>
    <x v="4"/>
  </r>
  <r>
    <n v="1042"/>
    <d v="2022-06-01T00:00:00"/>
    <s v="Aarav"/>
    <s v="North"/>
    <s v="Phone"/>
    <s v="Electronics"/>
    <n v="25000"/>
    <n v="3600"/>
    <x v="5"/>
  </r>
  <r>
    <n v="1043"/>
    <d v="2022-07-01T00:00:00"/>
    <s v="Kavya"/>
    <s v="South"/>
    <s v="Chair"/>
    <s v="Furniture"/>
    <n v="7800"/>
    <n v="1650"/>
    <x v="6"/>
  </r>
  <r>
    <n v="1044"/>
    <d v="2022-08-01T00:00:00"/>
    <s v="Vivaan"/>
    <s v="East"/>
    <s v="Table"/>
    <s v="Furniture"/>
    <n v="15500"/>
    <n v="3100"/>
    <x v="7"/>
  </r>
  <r>
    <n v="1045"/>
    <d v="2022-09-01T00:00:00"/>
    <s v="Meera"/>
    <s v="West"/>
    <s v="Headphones"/>
    <s v="Electronics"/>
    <n v="4800"/>
    <n v="850"/>
    <x v="8"/>
  </r>
  <r>
    <n v="1046"/>
    <d v="2022-10-01T00:00:00"/>
    <s v="Arjun"/>
    <s v="North"/>
    <s v="Laptop"/>
    <s v="Electronics"/>
    <n v="56000"/>
    <n v="9200"/>
    <x v="9"/>
  </r>
  <r>
    <n v="1047"/>
    <d v="2022-11-01T00:00:00"/>
    <s v="Ananya"/>
    <s v="South"/>
    <s v="Sofa"/>
    <s v="Furniture"/>
    <n v="28500"/>
    <n v="6900"/>
    <x v="10"/>
  </r>
  <r>
    <n v="1048"/>
    <d v="2022-12-01T00:00:00"/>
    <s v="Ishaan"/>
    <s v="East"/>
    <s v="Phone"/>
    <s v="Electronics"/>
    <n v="21000"/>
    <n v="3000"/>
    <x v="11"/>
  </r>
  <r>
    <n v="1049"/>
    <d v="2021-01-01T00:00:00"/>
    <s v="Priya"/>
    <s v="West"/>
    <s v="Table"/>
    <s v="Furniture"/>
    <n v="16500"/>
    <n v="3300"/>
    <x v="0"/>
  </r>
  <r>
    <n v="1050"/>
    <d v="2021-02-01T00:00:00"/>
    <s v="Dev"/>
    <s v="North"/>
    <s v="Laptop"/>
    <s v="Electronics"/>
    <n v="49000"/>
    <n v="7600"/>
    <x v="1"/>
  </r>
  <r>
    <n v="1051"/>
    <d v="2021-03-01T00:00:00"/>
    <s v="Riya"/>
    <s v="South"/>
    <s v="Chair"/>
    <s v="Furniture"/>
    <n v="8300"/>
    <n v="1750"/>
    <x v="2"/>
  </r>
  <r>
    <n v="1052"/>
    <d v="2021-04-01T00:00:00"/>
    <s v="Aarav"/>
    <s v="East"/>
    <s v="Headphones"/>
    <s v="Electronics"/>
    <n v="4000"/>
    <n v="700"/>
    <x v="3"/>
  </r>
  <r>
    <n v="1053"/>
    <d v="2021-05-01T00:00:00"/>
    <s v="Kavya"/>
    <s v="West"/>
    <s v="Sofa"/>
    <s v="Furniture"/>
    <n v="30000"/>
    <n v="7200"/>
    <x v="4"/>
  </r>
  <r>
    <n v="1054"/>
    <d v="2021-06-01T00:00:00"/>
    <s v="Vivaan"/>
    <s v="North"/>
    <s v="Phone"/>
    <s v="Electronics"/>
    <n v="27000"/>
    <n v="4100"/>
    <x v="5"/>
  </r>
  <r>
    <n v="1055"/>
    <d v="2021-07-01T00:00:00"/>
    <s v="Meera"/>
    <s v="South"/>
    <s v="Table"/>
    <s v="Furniture"/>
    <n v="17500"/>
    <n v="3500"/>
    <x v="6"/>
  </r>
  <r>
    <n v="1056"/>
    <d v="2021-08-01T00:00:00"/>
    <s v="Arjun"/>
    <s v="East"/>
    <s v="Laptop"/>
    <s v="Electronics"/>
    <n v="61000"/>
    <n v="10200"/>
    <x v="7"/>
  </r>
  <r>
    <n v="1057"/>
    <d v="2021-09-01T00:00:00"/>
    <s v="Ananya"/>
    <s v="West"/>
    <s v="Chair"/>
    <s v="Furniture"/>
    <n v="9800"/>
    <n v="2100"/>
    <x v="8"/>
  </r>
  <r>
    <n v="1058"/>
    <d v="2021-10-01T00:00:00"/>
    <s v="Ishaan"/>
    <s v="North"/>
    <s v="Phone"/>
    <s v="Electronics"/>
    <n v="24000"/>
    <n v="3400"/>
    <x v="9"/>
  </r>
  <r>
    <n v="1059"/>
    <d v="2021-11-01T00:00:00"/>
    <s v="Priya"/>
    <s v="South"/>
    <s v="Sofa"/>
    <s v="Furniture"/>
    <n v="31000"/>
    <n v="7700"/>
    <x v="10"/>
  </r>
  <r>
    <n v="1060"/>
    <d v="2021-12-01T00:00:00"/>
    <s v="Dev"/>
    <s v="East"/>
    <s v="Headphones"/>
    <s v="Electronics"/>
    <n v="5200"/>
    <n v="950"/>
    <x v="1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n v="1001"/>
    <d v="2024-01-01T00:00:00"/>
    <s v="Riya"/>
    <x v="0"/>
    <x v="0"/>
    <x v="0"/>
    <n v="50000"/>
    <x v="0"/>
    <s v="Jan-2024"/>
    <x v="0"/>
  </r>
  <r>
    <n v="1002"/>
    <d v="2024-02-01T00:00:00"/>
    <s v="Aarav"/>
    <x v="1"/>
    <x v="1"/>
    <x v="0"/>
    <n v="20000"/>
    <x v="1"/>
    <s v="Feb-2024"/>
    <x v="1"/>
  </r>
  <r>
    <n v="1003"/>
    <d v="2024-03-01T00:00:00"/>
    <s v="Kavya"/>
    <x v="2"/>
    <x v="2"/>
    <x v="1"/>
    <n v="7000"/>
    <x v="2"/>
    <s v="Mar-2024"/>
    <x v="2"/>
  </r>
  <r>
    <n v="1004"/>
    <d v="2024-04-01T00:00:00"/>
    <s v="Vivaan"/>
    <x v="3"/>
    <x v="3"/>
    <x v="1"/>
    <n v="12000"/>
    <x v="3"/>
    <s v="Apr-2024"/>
    <x v="3"/>
  </r>
  <r>
    <n v="1005"/>
    <d v="2024-05-01T00:00:00"/>
    <s v="Meera"/>
    <x v="0"/>
    <x v="4"/>
    <x v="0"/>
    <n v="3000"/>
    <x v="4"/>
    <s v="May-2024"/>
    <x v="4"/>
  </r>
  <r>
    <n v="1006"/>
    <d v="2024-06-01T00:00:00"/>
    <s v="Arjun"/>
    <x v="1"/>
    <x v="0"/>
    <x v="0"/>
    <n v="52000"/>
    <x v="5"/>
    <s v="Jun-2024"/>
    <x v="5"/>
  </r>
  <r>
    <n v="1007"/>
    <d v="2024-07-01T00:00:00"/>
    <s v="Ananya"/>
    <x v="2"/>
    <x v="5"/>
    <x v="1"/>
    <n v="25000"/>
    <x v="6"/>
    <s v="Jul-2024"/>
    <x v="6"/>
  </r>
  <r>
    <n v="1008"/>
    <d v="2024-08-01T00:00:00"/>
    <s v="Ishaan"/>
    <x v="3"/>
    <x v="1"/>
    <x v="0"/>
    <n v="18000"/>
    <x v="3"/>
    <s v="Aug-2024"/>
    <x v="7"/>
  </r>
  <r>
    <n v="1009"/>
    <d v="2024-09-01T00:00:00"/>
    <s v="Priya"/>
    <x v="0"/>
    <x v="3"/>
    <x v="1"/>
    <n v="14000"/>
    <x v="7"/>
    <s v="Sep-2024"/>
    <x v="8"/>
  </r>
  <r>
    <n v="1010"/>
    <d v="2024-10-01T00:00:00"/>
    <s v="Dev"/>
    <x v="1"/>
    <x v="0"/>
    <x v="0"/>
    <n v="48000"/>
    <x v="8"/>
    <s v="Oct-2024"/>
    <x v="9"/>
  </r>
  <r>
    <n v="1011"/>
    <d v="2024-11-01T00:00:00"/>
    <s v="Riya"/>
    <x v="2"/>
    <x v="2"/>
    <x v="1"/>
    <n v="8000"/>
    <x v="9"/>
    <s v="Nov-2024"/>
    <x v="10"/>
  </r>
  <r>
    <n v="1012"/>
    <d v="2024-12-01T00:00:00"/>
    <s v="Aarav"/>
    <x v="3"/>
    <x v="4"/>
    <x v="0"/>
    <n v="3500"/>
    <x v="10"/>
    <s v="Dec-2024"/>
    <x v="11"/>
  </r>
  <r>
    <n v="1013"/>
    <d v="2025-01-01T00:00:00"/>
    <s v="Kavya"/>
    <x v="0"/>
    <x v="5"/>
    <x v="1"/>
    <n v="27000"/>
    <x v="11"/>
    <s v="Jan-2025"/>
    <x v="0"/>
  </r>
  <r>
    <n v="1014"/>
    <d v="2025-02-01T00:00:00"/>
    <s v="Vivaan"/>
    <x v="1"/>
    <x v="1"/>
    <x v="0"/>
    <n v="22000"/>
    <x v="12"/>
    <s v="Feb-2025"/>
    <x v="1"/>
  </r>
  <r>
    <n v="1015"/>
    <d v="2025-03-01T00:00:00"/>
    <s v="Meera"/>
    <x v="2"/>
    <x v="3"/>
    <x v="1"/>
    <n v="13000"/>
    <x v="13"/>
    <s v="Mar-2025"/>
    <x v="2"/>
  </r>
  <r>
    <n v="1016"/>
    <d v="2025-04-01T00:00:00"/>
    <s v="Arjun"/>
    <x v="3"/>
    <x v="0"/>
    <x v="0"/>
    <n v="51000"/>
    <x v="14"/>
    <s v="Apr-2025"/>
    <x v="3"/>
  </r>
  <r>
    <n v="1017"/>
    <d v="2025-05-01T00:00:00"/>
    <s v="Ananya"/>
    <x v="0"/>
    <x v="2"/>
    <x v="1"/>
    <n v="9000"/>
    <x v="15"/>
    <s v="May-2025"/>
    <x v="4"/>
  </r>
  <r>
    <n v="1018"/>
    <d v="2025-06-01T00:00:00"/>
    <s v="Ishaan"/>
    <x v="1"/>
    <x v="1"/>
    <x v="0"/>
    <n v="21000"/>
    <x v="16"/>
    <s v="Jun-2025"/>
    <x v="5"/>
  </r>
  <r>
    <n v="1019"/>
    <d v="2025-07-01T00:00:00"/>
    <s v="Priya"/>
    <x v="2"/>
    <x v="5"/>
    <x v="1"/>
    <n v="26000"/>
    <x v="17"/>
    <s v="Jul-2025"/>
    <x v="6"/>
  </r>
  <r>
    <n v="1020"/>
    <d v="2025-08-01T00:00:00"/>
    <s v="Dev"/>
    <x v="3"/>
    <x v="4"/>
    <x v="0"/>
    <n v="4000"/>
    <x v="18"/>
    <s v="Aug-2025"/>
    <x v="7"/>
  </r>
  <r>
    <n v="1021"/>
    <d v="2025-09-01T00:00:00"/>
    <s v="Riya"/>
    <x v="0"/>
    <x v="0"/>
    <x v="0"/>
    <n v="53000"/>
    <x v="19"/>
    <s v="Sep-2025"/>
    <x v="8"/>
  </r>
  <r>
    <n v="1022"/>
    <d v="2025-10-01T00:00:00"/>
    <s v="Aarav"/>
    <x v="1"/>
    <x v="1"/>
    <x v="0"/>
    <n v="24000"/>
    <x v="20"/>
    <s v="Oct-2025"/>
    <x v="9"/>
  </r>
  <r>
    <n v="1023"/>
    <d v="2025-11-01T00:00:00"/>
    <s v="Kavya"/>
    <x v="2"/>
    <x v="2"/>
    <x v="1"/>
    <n v="7500"/>
    <x v="21"/>
    <s v="Nov-2025"/>
    <x v="10"/>
  </r>
  <r>
    <n v="1024"/>
    <d v="2025-12-01T00:00:00"/>
    <s v="Vivaan"/>
    <x v="3"/>
    <x v="3"/>
    <x v="1"/>
    <n v="15000"/>
    <x v="1"/>
    <s v="Dec-2025"/>
    <x v="11"/>
  </r>
  <r>
    <n v="1025"/>
    <d v="2023-01-01T00:00:00"/>
    <s v="Meera"/>
    <x v="0"/>
    <x v="4"/>
    <x v="0"/>
    <n v="4500"/>
    <x v="22"/>
    <s v="Jan-2023"/>
    <x v="0"/>
  </r>
  <r>
    <n v="1026"/>
    <d v="2023-02-01T00:00:00"/>
    <s v="Arjun"/>
    <x v="1"/>
    <x v="0"/>
    <x v="0"/>
    <n v="55000"/>
    <x v="23"/>
    <s v="Feb-2023"/>
    <x v="1"/>
  </r>
  <r>
    <n v="1027"/>
    <d v="2023-03-01T00:00:00"/>
    <s v="Ananya"/>
    <x v="2"/>
    <x v="5"/>
    <x v="1"/>
    <n v="28000"/>
    <x v="24"/>
    <s v="Mar-2023"/>
    <x v="2"/>
  </r>
  <r>
    <n v="1028"/>
    <d v="2023-04-01T00:00:00"/>
    <s v="Ishaan"/>
    <x v="3"/>
    <x v="1"/>
    <x v="0"/>
    <n v="20000"/>
    <x v="25"/>
    <s v="Apr-2023"/>
    <x v="3"/>
  </r>
  <r>
    <n v="1029"/>
    <d v="2023-05-01T00:00:00"/>
    <s v="Priya"/>
    <x v="0"/>
    <x v="3"/>
    <x v="1"/>
    <n v="16000"/>
    <x v="12"/>
    <s v="May-2023"/>
    <x v="4"/>
  </r>
  <r>
    <n v="1030"/>
    <d v="2023-06-01T00:00:00"/>
    <s v="Dev"/>
    <x v="1"/>
    <x v="0"/>
    <x v="0"/>
    <n v="47000"/>
    <x v="26"/>
    <s v="Jun-2023"/>
    <x v="5"/>
  </r>
  <r>
    <n v="1031"/>
    <d v="2023-07-01T00:00:00"/>
    <s v="Riya"/>
    <x v="2"/>
    <x v="2"/>
    <x v="1"/>
    <n v="8200"/>
    <x v="9"/>
    <s v="Jul-2023"/>
    <x v="6"/>
  </r>
  <r>
    <n v="1032"/>
    <d v="2023-08-01T00:00:00"/>
    <s v="Aarav"/>
    <x v="3"/>
    <x v="4"/>
    <x v="0"/>
    <n v="3800"/>
    <x v="27"/>
    <s v="Aug-2023"/>
    <x v="7"/>
  </r>
  <r>
    <n v="1033"/>
    <d v="2023-09-01T00:00:00"/>
    <s v="Kavya"/>
    <x v="0"/>
    <x v="5"/>
    <x v="1"/>
    <n v="29000"/>
    <x v="28"/>
    <s v="Sep-2023"/>
    <x v="8"/>
  </r>
  <r>
    <n v="1034"/>
    <d v="2023-10-01T00:00:00"/>
    <s v="Vivaan"/>
    <x v="1"/>
    <x v="1"/>
    <x v="0"/>
    <n v="26000"/>
    <x v="29"/>
    <s v="Oct-2023"/>
    <x v="9"/>
  </r>
  <r>
    <n v="1035"/>
    <d v="2023-11-01T00:00:00"/>
    <s v="Meera"/>
    <x v="2"/>
    <x v="3"/>
    <x v="1"/>
    <n v="17000"/>
    <x v="30"/>
    <s v="Nov-2023"/>
    <x v="10"/>
  </r>
  <r>
    <n v="1036"/>
    <d v="2023-12-01T00:00:00"/>
    <s v="Arjun"/>
    <x v="3"/>
    <x v="0"/>
    <x v="0"/>
    <n v="60000"/>
    <x v="31"/>
    <s v="Dec-2023"/>
    <x v="11"/>
  </r>
  <r>
    <n v="1037"/>
    <d v="2022-01-01T00:00:00"/>
    <s v="Ananya"/>
    <x v="0"/>
    <x v="2"/>
    <x v="1"/>
    <n v="9500"/>
    <x v="32"/>
    <s v="Jan-2022"/>
    <x v="0"/>
  </r>
  <r>
    <n v="1038"/>
    <d v="2022-02-01T00:00:00"/>
    <s v="Ishaan"/>
    <x v="1"/>
    <x v="1"/>
    <x v="0"/>
    <n v="23000"/>
    <x v="33"/>
    <s v="Feb-2022"/>
    <x v="1"/>
  </r>
  <r>
    <n v="1039"/>
    <d v="2022-03-01T00:00:00"/>
    <s v="Priya"/>
    <x v="2"/>
    <x v="5"/>
    <x v="1"/>
    <n v="30000"/>
    <x v="8"/>
    <s v="Mar-2022"/>
    <x v="2"/>
  </r>
  <r>
    <n v="1040"/>
    <d v="2022-04-01T00:00:00"/>
    <s v="Dev"/>
    <x v="3"/>
    <x v="4"/>
    <x v="0"/>
    <n v="5000"/>
    <x v="34"/>
    <s v="Apr-2022"/>
    <x v="3"/>
  </r>
  <r>
    <n v="1041"/>
    <d v="2022-05-01T00:00:00"/>
    <s v="Riya"/>
    <x v="0"/>
    <x v="0"/>
    <x v="0"/>
    <n v="54000"/>
    <x v="35"/>
    <s v="May-2022"/>
    <x v="4"/>
  </r>
  <r>
    <n v="1042"/>
    <d v="2022-06-01T00:00:00"/>
    <s v="Aarav"/>
    <x v="1"/>
    <x v="1"/>
    <x v="0"/>
    <n v="25000"/>
    <x v="36"/>
    <s v="Jun-2022"/>
    <x v="5"/>
  </r>
  <r>
    <n v="1043"/>
    <d v="2022-07-01T00:00:00"/>
    <s v="Kavya"/>
    <x v="2"/>
    <x v="2"/>
    <x v="1"/>
    <n v="7800"/>
    <x v="37"/>
    <s v="Jul-2022"/>
    <x v="6"/>
  </r>
  <r>
    <n v="1044"/>
    <d v="2022-08-01T00:00:00"/>
    <s v="Vivaan"/>
    <x v="3"/>
    <x v="3"/>
    <x v="1"/>
    <n v="15500"/>
    <x v="16"/>
    <s v="Aug-2022"/>
    <x v="7"/>
  </r>
  <r>
    <n v="1045"/>
    <d v="2022-09-01T00:00:00"/>
    <s v="Meera"/>
    <x v="0"/>
    <x v="4"/>
    <x v="0"/>
    <n v="4800"/>
    <x v="38"/>
    <s v="Sep-2022"/>
    <x v="8"/>
  </r>
  <r>
    <n v="1046"/>
    <d v="2022-10-01T00:00:00"/>
    <s v="Arjun"/>
    <x v="1"/>
    <x v="0"/>
    <x v="0"/>
    <n v="56000"/>
    <x v="39"/>
    <s v="Oct-2022"/>
    <x v="9"/>
  </r>
  <r>
    <n v="1047"/>
    <d v="2022-11-01T00:00:00"/>
    <s v="Ananya"/>
    <x v="2"/>
    <x v="5"/>
    <x v="1"/>
    <n v="28500"/>
    <x v="40"/>
    <s v="Nov-2022"/>
    <x v="10"/>
  </r>
  <r>
    <n v="1048"/>
    <d v="2022-12-01T00:00:00"/>
    <s v="Ishaan"/>
    <x v="3"/>
    <x v="1"/>
    <x v="0"/>
    <n v="21000"/>
    <x v="1"/>
    <s v="Dec-2022"/>
    <x v="11"/>
  </r>
  <r>
    <n v="1049"/>
    <d v="2021-01-01T00:00:00"/>
    <s v="Priya"/>
    <x v="0"/>
    <x v="3"/>
    <x v="1"/>
    <n v="16500"/>
    <x v="33"/>
    <s v="Jan-2021"/>
    <x v="0"/>
  </r>
  <r>
    <n v="1050"/>
    <d v="2021-02-01T00:00:00"/>
    <s v="Dev"/>
    <x v="1"/>
    <x v="0"/>
    <x v="0"/>
    <n v="49000"/>
    <x v="41"/>
    <s v="Feb-2021"/>
    <x v="1"/>
  </r>
  <r>
    <n v="1051"/>
    <d v="2021-03-01T00:00:00"/>
    <s v="Riya"/>
    <x v="2"/>
    <x v="2"/>
    <x v="1"/>
    <n v="8300"/>
    <x v="42"/>
    <s v="Mar-2021"/>
    <x v="2"/>
  </r>
  <r>
    <n v="1052"/>
    <d v="2021-04-01T00:00:00"/>
    <s v="Aarav"/>
    <x v="3"/>
    <x v="4"/>
    <x v="0"/>
    <n v="4000"/>
    <x v="18"/>
    <s v="Apr-2021"/>
    <x v="3"/>
  </r>
  <r>
    <n v="1053"/>
    <d v="2021-05-01T00:00:00"/>
    <s v="Kavya"/>
    <x v="0"/>
    <x v="5"/>
    <x v="1"/>
    <n v="30000"/>
    <x v="26"/>
    <s v="May-2021"/>
    <x v="4"/>
  </r>
  <r>
    <n v="1054"/>
    <d v="2021-06-01T00:00:00"/>
    <s v="Vivaan"/>
    <x v="1"/>
    <x v="1"/>
    <x v="0"/>
    <n v="27000"/>
    <x v="43"/>
    <s v="Jun-2021"/>
    <x v="5"/>
  </r>
  <r>
    <n v="1055"/>
    <d v="2021-07-01T00:00:00"/>
    <s v="Meera"/>
    <x v="2"/>
    <x v="3"/>
    <x v="1"/>
    <n v="17500"/>
    <x v="20"/>
    <s v="Jul-2021"/>
    <x v="6"/>
  </r>
  <r>
    <n v="1056"/>
    <d v="2021-08-01T00:00:00"/>
    <s v="Arjun"/>
    <x v="3"/>
    <x v="0"/>
    <x v="0"/>
    <n v="61000"/>
    <x v="44"/>
    <s v="Aug-2021"/>
    <x v="7"/>
  </r>
  <r>
    <n v="1057"/>
    <d v="2021-09-01T00:00:00"/>
    <s v="Ananya"/>
    <x v="0"/>
    <x v="2"/>
    <x v="1"/>
    <n v="9800"/>
    <x v="45"/>
    <s v="Sep-2021"/>
    <x v="8"/>
  </r>
  <r>
    <n v="1058"/>
    <d v="2021-10-01T00:00:00"/>
    <s v="Ishaan"/>
    <x v="1"/>
    <x v="1"/>
    <x v="0"/>
    <n v="24000"/>
    <x v="30"/>
    <s v="Oct-2021"/>
    <x v="9"/>
  </r>
  <r>
    <n v="1059"/>
    <d v="2021-11-01T00:00:00"/>
    <s v="Priya"/>
    <x v="2"/>
    <x v="5"/>
    <x v="1"/>
    <n v="31000"/>
    <x v="46"/>
    <s v="Nov-2021"/>
    <x v="10"/>
  </r>
  <r>
    <n v="1060"/>
    <d v="2021-12-01T00:00:00"/>
    <s v="Dev"/>
    <x v="3"/>
    <x v="4"/>
    <x v="0"/>
    <n v="5200"/>
    <x v="47"/>
    <s v="Dec-2021"/>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2F68F1-6AAB-4F87-AAA0-D912B2D7A27B}" name="Monthly Sales Trend"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1:X14" firstHeaderRow="1" firstDataRow="1" firstDataCol="1"/>
  <pivotFields count="9">
    <pivotField showAll="0"/>
    <pivotField numFmtId="164" showAll="0"/>
    <pivotField showAll="0"/>
    <pivotField showAll="0"/>
    <pivotField showAll="0"/>
    <pivotField showAll="0"/>
    <pivotField dataField="1" showAll="0"/>
    <pivotField showAll="0"/>
    <pivotField axis="axisRow" showAll="0">
      <items count="13">
        <item x="0"/>
        <item x="1"/>
        <item x="2"/>
        <item x="3"/>
        <item x="4"/>
        <item x="5"/>
        <item x="6"/>
        <item x="7"/>
        <item x="8"/>
        <item x="9"/>
        <item x="10"/>
        <item x="11"/>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A48273-2566-4377-B8C6-B57B3B4164F3}" name="Profit Analysis"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1:T8" firstHeaderRow="1" firstDataRow="1" firstDataCol="1"/>
  <pivotFields count="8">
    <pivotField showAll="0"/>
    <pivotField showAll="0"/>
    <pivotField showAll="0"/>
    <pivotField showAll="0"/>
    <pivotField axis="axisRow" showAll="0">
      <items count="7">
        <item x="2"/>
        <item x="4"/>
        <item x="0"/>
        <item x="1"/>
        <item x="5"/>
        <item x="3"/>
        <item t="default"/>
      </items>
    </pivotField>
    <pivotField showAll="0"/>
    <pivotField showAll="0"/>
    <pivotField dataField="1" showAll="0"/>
  </pivotFields>
  <rowFields count="1">
    <field x="4"/>
  </rowFields>
  <rowItems count="7">
    <i>
      <x/>
    </i>
    <i>
      <x v="1"/>
    </i>
    <i>
      <x v="2"/>
    </i>
    <i>
      <x v="3"/>
    </i>
    <i>
      <x v="4"/>
    </i>
    <i>
      <x v="5"/>
    </i>
    <i t="grand">
      <x/>
    </i>
  </rowItems>
  <colItems count="1">
    <i/>
  </colItems>
  <dataFields count="1">
    <dataField name="Sum of Profi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0A7900-C667-432E-8EE3-3DE387BF4D3D}" name="Sales by Category"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P4" firstHeaderRow="1" firstDataRow="1" firstDataCol="1"/>
  <pivotFields count="8">
    <pivotField showAll="0"/>
    <pivotField showAll="0"/>
    <pivotField showAll="0"/>
    <pivotField showAll="0"/>
    <pivotField showAll="0"/>
    <pivotField axis="axisRow" showAll="0">
      <items count="3">
        <item x="0"/>
        <item x="1"/>
        <item t="default"/>
      </items>
    </pivotField>
    <pivotField dataField="1" showAll="0"/>
    <pivotField showAll="0"/>
  </pivotFields>
  <rowFields count="1">
    <field x="5"/>
  </rowFields>
  <rowItems count="3">
    <i>
      <x/>
    </i>
    <i>
      <x v="1"/>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20254A-DC63-48B9-B1E5-70A8073A8DF7}" name="Sales by Region"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L6" firstHeaderRow="1" firstDataRow="1" firstDataCol="1"/>
  <pivotFields count="8">
    <pivotField showAll="0"/>
    <pivotField showAll="0"/>
    <pivotField showAll="0"/>
    <pivotField axis="axisRow" showAll="0">
      <items count="5">
        <item x="3"/>
        <item x="1"/>
        <item x="2"/>
        <item x="0"/>
        <item t="default"/>
      </items>
    </pivotField>
    <pivotField showAll="0"/>
    <pivotField showAll="0"/>
    <pivotField dataField="1" showAll="0"/>
    <pivotField showAll="0"/>
  </pivotFields>
  <rowFields count="1">
    <field x="3"/>
  </rowFields>
  <rowItems count="5">
    <i>
      <x/>
    </i>
    <i>
      <x v="1"/>
    </i>
    <i>
      <x v="2"/>
    </i>
    <i>
      <x v="3"/>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E73E85-8D03-4332-8CC8-0D5CEF3EEF50}" name="profit analysis"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X2:Y4" firstHeaderRow="1" firstDataRow="1" firstDataCol="1"/>
  <pivotFields count="10">
    <pivotField showAll="0"/>
    <pivotField numFmtId="164" showAll="0"/>
    <pivotField showAll="0"/>
    <pivotField showAll="0">
      <items count="5">
        <item x="3"/>
        <item h="1" x="1"/>
        <item h="1" x="2"/>
        <item h="1" x="0"/>
        <item t="default"/>
      </items>
    </pivotField>
    <pivotField axis="axisRow" showAll="0">
      <items count="7">
        <item x="2"/>
        <item x="4"/>
        <item x="0"/>
        <item x="1"/>
        <item x="5"/>
        <item x="3"/>
        <item t="default"/>
      </items>
    </pivotField>
    <pivotField showAll="0">
      <items count="3">
        <item h="1" x="0"/>
        <item x="1"/>
        <item t="default"/>
      </items>
    </pivotField>
    <pivotField showAll="0"/>
    <pivotField dataField="1" showAll="0">
      <items count="49">
        <item x="4"/>
        <item x="10"/>
        <item x="27"/>
        <item x="18"/>
        <item x="22"/>
        <item x="38"/>
        <item x="34"/>
        <item x="47"/>
        <item x="2"/>
        <item x="21"/>
        <item x="37"/>
        <item x="9"/>
        <item x="42"/>
        <item x="15"/>
        <item x="32"/>
        <item x="45"/>
        <item x="3"/>
        <item x="13"/>
        <item x="7"/>
        <item x="25"/>
        <item x="1"/>
        <item x="16"/>
        <item x="12"/>
        <item x="33"/>
        <item x="30"/>
        <item x="20"/>
        <item x="36"/>
        <item x="29"/>
        <item x="43"/>
        <item x="6"/>
        <item x="17"/>
        <item x="11"/>
        <item x="24"/>
        <item x="40"/>
        <item x="28"/>
        <item x="26"/>
        <item x="8"/>
        <item x="41"/>
        <item x="46"/>
        <item x="0"/>
        <item x="14"/>
        <item x="5"/>
        <item x="19"/>
        <item x="35"/>
        <item x="23"/>
        <item x="39"/>
        <item x="31"/>
        <item x="44"/>
        <item t="default"/>
      </items>
    </pivotField>
    <pivotField showAll="0"/>
    <pivotField showAll="0"/>
  </pivotFields>
  <rowFields count="1">
    <field x="4"/>
  </rowFields>
  <rowItems count="2">
    <i>
      <x v="5"/>
    </i>
    <i t="grand">
      <x/>
    </i>
  </rowItems>
  <colItems count="1">
    <i/>
  </colItems>
  <dataFields count="1">
    <dataField name="Sum of Profit" fld="7" baseField="0" baseItem="0"/>
  </dataFields>
  <chartFormats count="8">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4" count="1" selected="0">
            <x v="0"/>
          </reference>
        </references>
      </pivotArea>
    </chartFormat>
    <chartFormat chart="2" format="10">
      <pivotArea type="data" outline="0" fieldPosition="0">
        <references count="2">
          <reference field="4294967294" count="1" selected="0">
            <x v="0"/>
          </reference>
          <reference field="4" count="1" selected="0">
            <x v="1"/>
          </reference>
        </references>
      </pivotArea>
    </chartFormat>
    <chartFormat chart="2" format="11">
      <pivotArea type="data" outline="0" fieldPosition="0">
        <references count="2">
          <reference field="4294967294" count="1" selected="0">
            <x v="0"/>
          </reference>
          <reference field="4" count="1" selected="0">
            <x v="2"/>
          </reference>
        </references>
      </pivotArea>
    </chartFormat>
    <chartFormat chart="2" format="12">
      <pivotArea type="data" outline="0" fieldPosition="0">
        <references count="2">
          <reference field="4294967294" count="1" selected="0">
            <x v="0"/>
          </reference>
          <reference field="4" count="1" selected="0">
            <x v="3"/>
          </reference>
        </references>
      </pivotArea>
    </chartFormat>
    <chartFormat chart="2" format="13">
      <pivotArea type="data" outline="0" fieldPosition="0">
        <references count="2">
          <reference field="4294967294" count="1" selected="0">
            <x v="0"/>
          </reference>
          <reference field="4" count="1" selected="0">
            <x v="4"/>
          </reference>
        </references>
      </pivotArea>
    </chartFormat>
    <chartFormat chart="2" format="1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EEC471-91E3-43D0-A788-9AF191B5E8B3}" name="Monthly Sales Trend"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T2:U6" firstHeaderRow="1" firstDataRow="1" firstDataCol="1"/>
  <pivotFields count="10">
    <pivotField showAll="0"/>
    <pivotField numFmtId="164" showAll="0"/>
    <pivotField showAll="0"/>
    <pivotField showAll="0">
      <items count="5">
        <item x="3"/>
        <item h="1" x="1"/>
        <item h="1" x="2"/>
        <item h="1" x="0"/>
        <item t="default"/>
      </items>
    </pivotField>
    <pivotField showAll="0"/>
    <pivotField showAll="0">
      <items count="3">
        <item h="1" x="0"/>
        <item x="1"/>
        <item t="default"/>
      </items>
    </pivotField>
    <pivotField dataField="1" showAll="0"/>
    <pivotField showAll="0"/>
    <pivotField showAll="0"/>
    <pivotField axis="axisRow" showAll="0">
      <items count="13">
        <item x="0"/>
        <item x="1"/>
        <item x="2"/>
        <item x="3"/>
        <item x="4"/>
        <item x="5"/>
        <item x="6"/>
        <item x="7"/>
        <item x="8"/>
        <item x="9"/>
        <item x="10"/>
        <item x="11"/>
        <item t="default"/>
      </items>
    </pivotField>
  </pivotFields>
  <rowFields count="1">
    <field x="9"/>
  </rowFields>
  <rowItems count="4">
    <i>
      <x v="3"/>
    </i>
    <i>
      <x v="7"/>
    </i>
    <i>
      <x v="11"/>
    </i>
    <i t="grand">
      <x/>
    </i>
  </rowItems>
  <colItems count="1">
    <i/>
  </colItems>
  <dataFields count="1">
    <dataField name="Sum of Sales" fld="6"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396FCF-4B15-42B1-98DE-643B0FC65777}" name="sales by catagory"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P2:Q4" firstHeaderRow="1" firstDataRow="1" firstDataCol="1"/>
  <pivotFields count="10">
    <pivotField showAll="0"/>
    <pivotField numFmtId="164" showAll="0"/>
    <pivotField showAll="0"/>
    <pivotField showAll="0">
      <items count="5">
        <item x="3"/>
        <item h="1" x="1"/>
        <item h="1" x="2"/>
        <item h="1" x="0"/>
        <item t="default"/>
      </items>
    </pivotField>
    <pivotField showAll="0"/>
    <pivotField axis="axisRow" showAll="0">
      <items count="3">
        <item h="1" x="0"/>
        <item x="1"/>
        <item t="default"/>
      </items>
    </pivotField>
    <pivotField dataField="1" showAll="0"/>
    <pivotField showAll="0"/>
    <pivotField showAll="0"/>
    <pivotField showAll="0"/>
  </pivotFields>
  <rowFields count="1">
    <field x="5"/>
  </rowFields>
  <rowItems count="2">
    <i>
      <x v="1"/>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596EDA-D953-4B8F-9EF0-F477F955AA77}" name="sales by region"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2:M4" firstHeaderRow="1" firstDataRow="1" firstDataCol="1"/>
  <pivotFields count="10">
    <pivotField showAll="0"/>
    <pivotField numFmtId="164" showAll="0"/>
    <pivotField showAll="0"/>
    <pivotField axis="axisRow" showAll="0">
      <items count="5">
        <item x="3"/>
        <item h="1" x="1"/>
        <item h="1" x="2"/>
        <item h="1" x="0"/>
        <item t="default"/>
      </items>
    </pivotField>
    <pivotField showAll="0"/>
    <pivotField showAll="0">
      <items count="3">
        <item h="1" x="0"/>
        <item x="1"/>
        <item t="default"/>
      </items>
    </pivotField>
    <pivotField dataField="1" showAll="0"/>
    <pivotField showAll="0"/>
    <pivotField showAll="0"/>
    <pivotField showAll="0"/>
  </pivotFields>
  <rowFields count="1">
    <field x="3"/>
  </rowFields>
  <rowItems count="2">
    <i>
      <x/>
    </i>
    <i t="grand">
      <x/>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FFF34AB-330E-459B-B89A-3506227187EB}" sourceName="Region">
  <pivotTables>
    <pivotTable tabId="3" name="sales by region"/>
    <pivotTable tabId="3" name="Monthly Sales Trend"/>
    <pivotTable tabId="3" name="profit analysis"/>
    <pivotTable tabId="3" name="sales by catagory"/>
  </pivotTables>
  <data>
    <tabular pivotCacheId="1027624340">
      <items count="4">
        <i x="3" s="1"/>
        <i x="2"/>
        <i x="0"/>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EA24314-1676-40F2-871D-157AE17DD51E}" sourceName="Category">
  <pivotTables>
    <pivotTable tabId="3" name="sales by region"/>
    <pivotTable tabId="3" name="Monthly Sales Trend"/>
    <pivotTable tabId="3" name="profit analysis"/>
    <pivotTable tabId="3" name="sales by catagory"/>
  </pivotTables>
  <data>
    <tabular pivotCacheId="1027624340">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BF37B57-C343-4296-8929-528D84AB311F}" cache="Slicer_Region" caption="Region" showCaption="0" rowHeight="548640"/>
  <slicer name="Category 1" xr10:uid="{C0204563-BC8B-401E-965D-467C4ADD1B6B}" cache="Slicer_Category" caption="Category" showCaption="0" rowHeight="7315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CBE578E-5FF6-4B9E-A223-38C9552BDB7D}" cache="Slicer_Region" caption="Region" rowHeight="247650"/>
  <slicer name="Category" xr10:uid="{98FFB1FF-8A8A-41AC-95F0-4EFF49D86362}" cache="Slicer_Category" caption="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3EBFA-DD17-4D5F-B282-9438A6CFBB46}">
  <dimension ref="A1:A3"/>
  <sheetViews>
    <sheetView showGridLines="0" workbookViewId="0">
      <selection activeCell="V8" sqref="V8"/>
    </sheetView>
  </sheetViews>
  <sheetFormatPr defaultRowHeight="14.4" x14ac:dyDescent="0.3"/>
  <cols>
    <col min="1" max="16384" width="8.88671875" style="13"/>
  </cols>
  <sheetData>
    <row r="1" s="12" customFormat="1" x14ac:dyDescent="0.3"/>
    <row r="2" s="12" customFormat="1" ht="14.4" customHeight="1" x14ac:dyDescent="0.3"/>
    <row r="3" s="12" customFormat="1" ht="13.2"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D5DF9-A8CB-4D84-A2CD-61A4C8392E96}">
  <dimension ref="A1:X61"/>
  <sheetViews>
    <sheetView topLeftCell="A36" workbookViewId="0">
      <selection activeCell="X19" sqref="X19"/>
    </sheetView>
  </sheetViews>
  <sheetFormatPr defaultColWidth="9" defaultRowHeight="14.4" x14ac:dyDescent="0.3"/>
  <cols>
    <col min="1" max="1" width="8.88671875" bestFit="1" customWidth="1"/>
    <col min="2" max="2" width="10.33203125" bestFit="1" customWidth="1"/>
    <col min="3" max="3" width="9.5546875" bestFit="1" customWidth="1"/>
    <col min="4" max="4" width="7.109375" bestFit="1" customWidth="1"/>
    <col min="5" max="5" width="11.109375" bestFit="1" customWidth="1"/>
    <col min="6" max="6" width="10" bestFit="1" customWidth="1"/>
    <col min="7" max="8" width="6" bestFit="1" customWidth="1"/>
    <col min="11" max="11" width="12.44140625" bestFit="1" customWidth="1"/>
    <col min="12" max="12" width="11.5546875" bestFit="1" customWidth="1"/>
    <col min="15" max="15" width="12.44140625" bestFit="1" customWidth="1"/>
    <col min="16" max="16" width="11.5546875" bestFit="1" customWidth="1"/>
    <col min="19" max="19" width="12.44140625" bestFit="1" customWidth="1"/>
    <col min="20" max="20" width="11.5546875" bestFit="1" customWidth="1"/>
    <col min="23" max="23" width="12.44140625" bestFit="1" customWidth="1"/>
    <col min="24" max="24" width="11.5546875" bestFit="1" customWidth="1"/>
  </cols>
  <sheetData>
    <row r="1" spans="1:24" x14ac:dyDescent="0.3">
      <c r="A1" s="1" t="s">
        <v>0</v>
      </c>
      <c r="B1" s="1" t="s">
        <v>1</v>
      </c>
      <c r="C1" s="1" t="s">
        <v>2</v>
      </c>
      <c r="D1" s="1" t="s">
        <v>3</v>
      </c>
      <c r="E1" s="1" t="s">
        <v>4</v>
      </c>
      <c r="F1" s="1" t="s">
        <v>5</v>
      </c>
      <c r="G1" s="1" t="s">
        <v>6</v>
      </c>
      <c r="H1" s="1" t="s">
        <v>7</v>
      </c>
      <c r="I1" s="1" t="s">
        <v>36</v>
      </c>
      <c r="K1" s="7" t="s">
        <v>32</v>
      </c>
      <c r="L1" t="s">
        <v>34</v>
      </c>
      <c r="O1" s="7" t="s">
        <v>32</v>
      </c>
      <c r="P1" t="s">
        <v>34</v>
      </c>
      <c r="S1" s="7" t="s">
        <v>32</v>
      </c>
      <c r="T1" t="s">
        <v>35</v>
      </c>
      <c r="W1" s="7" t="s">
        <v>32</v>
      </c>
      <c r="X1" t="s">
        <v>34</v>
      </c>
    </row>
    <row r="2" spans="1:24" x14ac:dyDescent="0.3">
      <c r="A2" s="3">
        <v>1001</v>
      </c>
      <c r="B2" s="5">
        <v>45292</v>
      </c>
      <c r="C2" s="2" t="s">
        <v>19</v>
      </c>
      <c r="D2" s="2" t="s">
        <v>8</v>
      </c>
      <c r="E2" s="2" t="s">
        <v>9</v>
      </c>
      <c r="F2" s="2" t="s">
        <v>10</v>
      </c>
      <c r="G2" s="3">
        <v>50000</v>
      </c>
      <c r="H2" s="3">
        <v>8000</v>
      </c>
      <c r="I2" t="str">
        <f>TEXT(B2,"MMM")</f>
        <v>Jan</v>
      </c>
      <c r="K2" s="8" t="s">
        <v>16</v>
      </c>
      <c r="L2">
        <v>299000</v>
      </c>
      <c r="O2" s="8" t="s">
        <v>10</v>
      </c>
      <c r="P2">
        <v>944800</v>
      </c>
      <c r="S2" s="8" t="s">
        <v>14</v>
      </c>
      <c r="T2">
        <v>15800</v>
      </c>
      <c r="W2" s="8" t="s">
        <v>37</v>
      </c>
      <c r="X2">
        <v>107500</v>
      </c>
    </row>
    <row r="3" spans="1:24" x14ac:dyDescent="0.3">
      <c r="A3" s="3">
        <v>1002</v>
      </c>
      <c r="B3" s="5">
        <v>45323</v>
      </c>
      <c r="C3" s="2" t="s">
        <v>20</v>
      </c>
      <c r="D3" s="2" t="s">
        <v>11</v>
      </c>
      <c r="E3" s="2" t="s">
        <v>12</v>
      </c>
      <c r="F3" s="2" t="s">
        <v>10</v>
      </c>
      <c r="G3" s="3">
        <v>20000</v>
      </c>
      <c r="H3" s="3">
        <v>3000</v>
      </c>
      <c r="I3" t="str">
        <f t="shared" ref="I3:I61" si="0">TEXT(B3,"MMM")</f>
        <v>Feb</v>
      </c>
      <c r="K3" s="8" t="s">
        <v>11</v>
      </c>
      <c r="L3">
        <v>519000</v>
      </c>
      <c r="O3" s="8" t="s">
        <v>15</v>
      </c>
      <c r="P3">
        <v>466100</v>
      </c>
      <c r="S3" s="8" t="s">
        <v>18</v>
      </c>
      <c r="T3">
        <v>6650</v>
      </c>
      <c r="W3" s="8" t="s">
        <v>38</v>
      </c>
      <c r="X3">
        <v>169000</v>
      </c>
    </row>
    <row r="4" spans="1:24" x14ac:dyDescent="0.3">
      <c r="A4" s="3">
        <v>1003</v>
      </c>
      <c r="B4" s="5">
        <v>45352</v>
      </c>
      <c r="C4" s="2" t="s">
        <v>21</v>
      </c>
      <c r="D4" s="2" t="s">
        <v>13</v>
      </c>
      <c r="E4" s="2" t="s">
        <v>14</v>
      </c>
      <c r="F4" s="2" t="s">
        <v>15</v>
      </c>
      <c r="G4" s="3">
        <v>7000</v>
      </c>
      <c r="H4" s="3">
        <v>1500</v>
      </c>
      <c r="I4" t="str">
        <f t="shared" si="0"/>
        <v>Mar</v>
      </c>
      <c r="K4" s="8" t="s">
        <v>13</v>
      </c>
      <c r="L4">
        <v>262800</v>
      </c>
      <c r="O4" s="8" t="s">
        <v>33</v>
      </c>
      <c r="P4">
        <v>1410900</v>
      </c>
      <c r="S4" s="8" t="s">
        <v>9</v>
      </c>
      <c r="T4">
        <v>101800</v>
      </c>
      <c r="W4" s="8" t="s">
        <v>39</v>
      </c>
      <c r="X4">
        <v>86300</v>
      </c>
    </row>
    <row r="5" spans="1:24" x14ac:dyDescent="0.3">
      <c r="A5" s="3">
        <v>1004</v>
      </c>
      <c r="B5" s="5">
        <v>45383</v>
      </c>
      <c r="C5" s="2" t="s">
        <v>22</v>
      </c>
      <c r="D5" s="2" t="s">
        <v>16</v>
      </c>
      <c r="E5" s="2" t="s">
        <v>17</v>
      </c>
      <c r="F5" s="2" t="s">
        <v>15</v>
      </c>
      <c r="G5" s="3">
        <v>12000</v>
      </c>
      <c r="H5" s="3">
        <v>2500</v>
      </c>
      <c r="I5" t="str">
        <f t="shared" si="0"/>
        <v>Apr</v>
      </c>
      <c r="K5" s="8" t="s">
        <v>8</v>
      </c>
      <c r="L5">
        <v>330100</v>
      </c>
      <c r="S5" s="8" t="s">
        <v>12</v>
      </c>
      <c r="T5">
        <v>39600</v>
      </c>
      <c r="W5" s="8" t="s">
        <v>40</v>
      </c>
      <c r="X5">
        <v>92000</v>
      </c>
    </row>
    <row r="6" spans="1:24" x14ac:dyDescent="0.3">
      <c r="A6" s="3">
        <v>1005</v>
      </c>
      <c r="B6" s="5">
        <v>45413</v>
      </c>
      <c r="C6" s="2" t="s">
        <v>23</v>
      </c>
      <c r="D6" s="2" t="s">
        <v>8</v>
      </c>
      <c r="E6" s="2" t="s">
        <v>18</v>
      </c>
      <c r="F6" s="2" t="s">
        <v>10</v>
      </c>
      <c r="G6" s="3">
        <v>3000</v>
      </c>
      <c r="H6" s="3">
        <v>500</v>
      </c>
      <c r="I6" t="str">
        <f t="shared" si="0"/>
        <v>May</v>
      </c>
      <c r="K6" s="8" t="s">
        <v>33</v>
      </c>
      <c r="L6">
        <v>1410900</v>
      </c>
      <c r="S6" s="8" t="s">
        <v>26</v>
      </c>
      <c r="T6">
        <v>61800</v>
      </c>
      <c r="W6" s="8" t="s">
        <v>41</v>
      </c>
      <c r="X6">
        <v>112000</v>
      </c>
    </row>
    <row r="7" spans="1:24" x14ac:dyDescent="0.3">
      <c r="A7" s="3">
        <v>1006</v>
      </c>
      <c r="B7" s="5">
        <v>45444</v>
      </c>
      <c r="C7" s="2" t="s">
        <v>24</v>
      </c>
      <c r="D7" s="2" t="s">
        <v>11</v>
      </c>
      <c r="E7" s="2" t="s">
        <v>9</v>
      </c>
      <c r="F7" s="2" t="s">
        <v>10</v>
      </c>
      <c r="G7" s="3">
        <v>52000</v>
      </c>
      <c r="H7" s="3">
        <v>8200</v>
      </c>
      <c r="I7" t="str">
        <f t="shared" si="0"/>
        <v>Jun</v>
      </c>
      <c r="S7" s="8" t="s">
        <v>17</v>
      </c>
      <c r="T7">
        <v>27400</v>
      </c>
      <c r="W7" s="8" t="s">
        <v>42</v>
      </c>
      <c r="X7">
        <v>172000</v>
      </c>
    </row>
    <row r="8" spans="1:24" x14ac:dyDescent="0.3">
      <c r="A8" s="3">
        <v>1007</v>
      </c>
      <c r="B8" s="5">
        <v>45474</v>
      </c>
      <c r="C8" s="2" t="s">
        <v>25</v>
      </c>
      <c r="D8" s="2" t="s">
        <v>13</v>
      </c>
      <c r="E8" s="2" t="s">
        <v>26</v>
      </c>
      <c r="F8" s="2" t="s">
        <v>15</v>
      </c>
      <c r="G8" s="3">
        <v>25000</v>
      </c>
      <c r="H8" s="3">
        <v>6000</v>
      </c>
      <c r="I8" t="str">
        <f t="shared" si="0"/>
        <v>Jul</v>
      </c>
      <c r="S8" s="8" t="s">
        <v>33</v>
      </c>
      <c r="T8">
        <v>253050</v>
      </c>
      <c r="W8" s="8" t="s">
        <v>43</v>
      </c>
      <c r="X8">
        <v>84500</v>
      </c>
    </row>
    <row r="9" spans="1:24" x14ac:dyDescent="0.3">
      <c r="A9" s="3">
        <v>1008</v>
      </c>
      <c r="B9" s="5">
        <v>45505</v>
      </c>
      <c r="C9" s="2" t="s">
        <v>27</v>
      </c>
      <c r="D9" s="2" t="s">
        <v>16</v>
      </c>
      <c r="E9" s="2" t="s">
        <v>12</v>
      </c>
      <c r="F9" s="2" t="s">
        <v>10</v>
      </c>
      <c r="G9" s="3">
        <v>18000</v>
      </c>
      <c r="H9" s="3">
        <v>2500</v>
      </c>
      <c r="I9" t="str">
        <f t="shared" si="0"/>
        <v>Aug</v>
      </c>
      <c r="W9" s="8" t="s">
        <v>44</v>
      </c>
      <c r="X9">
        <v>102300</v>
      </c>
    </row>
    <row r="10" spans="1:24" x14ac:dyDescent="0.3">
      <c r="A10" s="3">
        <v>1009</v>
      </c>
      <c r="B10" s="5">
        <v>45536</v>
      </c>
      <c r="C10" s="2" t="s">
        <v>28</v>
      </c>
      <c r="D10" s="2" t="s">
        <v>8</v>
      </c>
      <c r="E10" s="2" t="s">
        <v>17</v>
      </c>
      <c r="F10" s="2" t="s">
        <v>15</v>
      </c>
      <c r="G10" s="3">
        <v>14000</v>
      </c>
      <c r="H10" s="3">
        <v>2800</v>
      </c>
      <c r="I10" t="str">
        <f t="shared" si="0"/>
        <v>Sep</v>
      </c>
      <c r="W10" s="8" t="s">
        <v>45</v>
      </c>
      <c r="X10">
        <v>110600</v>
      </c>
    </row>
    <row r="11" spans="1:24" x14ac:dyDescent="0.3">
      <c r="A11" s="3">
        <v>1010</v>
      </c>
      <c r="B11" s="5">
        <v>45566</v>
      </c>
      <c r="C11" s="2" t="s">
        <v>29</v>
      </c>
      <c r="D11" s="2" t="s">
        <v>11</v>
      </c>
      <c r="E11" s="2" t="s">
        <v>9</v>
      </c>
      <c r="F11" s="2" t="s">
        <v>10</v>
      </c>
      <c r="G11" s="3">
        <v>48000</v>
      </c>
      <c r="H11" s="3">
        <v>7500</v>
      </c>
      <c r="I11" t="str">
        <f t="shared" si="0"/>
        <v>Oct</v>
      </c>
      <c r="W11" s="8" t="s">
        <v>46</v>
      </c>
      <c r="X11">
        <v>178000</v>
      </c>
    </row>
    <row r="12" spans="1:24" x14ac:dyDescent="0.3">
      <c r="A12" s="3">
        <v>1011</v>
      </c>
      <c r="B12" s="5">
        <v>45597</v>
      </c>
      <c r="C12" s="2" t="s">
        <v>19</v>
      </c>
      <c r="D12" s="2" t="s">
        <v>13</v>
      </c>
      <c r="E12" s="2" t="s">
        <v>14</v>
      </c>
      <c r="F12" s="2" t="s">
        <v>15</v>
      </c>
      <c r="G12" s="3">
        <v>8000</v>
      </c>
      <c r="H12" s="3">
        <v>1700</v>
      </c>
      <c r="I12" t="str">
        <f t="shared" si="0"/>
        <v>Nov</v>
      </c>
      <c r="W12" s="8" t="s">
        <v>47</v>
      </c>
      <c r="X12">
        <v>92000</v>
      </c>
    </row>
    <row r="13" spans="1:24" x14ac:dyDescent="0.3">
      <c r="A13" s="3">
        <v>1012</v>
      </c>
      <c r="B13" s="5">
        <v>45627</v>
      </c>
      <c r="C13" s="2" t="s">
        <v>20</v>
      </c>
      <c r="D13" s="2" t="s">
        <v>16</v>
      </c>
      <c r="E13" s="2" t="s">
        <v>18</v>
      </c>
      <c r="F13" s="2" t="s">
        <v>10</v>
      </c>
      <c r="G13" s="3">
        <v>3500</v>
      </c>
      <c r="H13" s="3">
        <v>600</v>
      </c>
      <c r="I13" t="str">
        <f t="shared" si="0"/>
        <v>Dec</v>
      </c>
      <c r="W13" s="8" t="s">
        <v>48</v>
      </c>
      <c r="X13">
        <v>104700</v>
      </c>
    </row>
    <row r="14" spans="1:24" x14ac:dyDescent="0.3">
      <c r="A14" s="3">
        <v>1013</v>
      </c>
      <c r="B14" s="5">
        <v>45658</v>
      </c>
      <c r="C14" s="2" t="s">
        <v>21</v>
      </c>
      <c r="D14" s="2" t="s">
        <v>8</v>
      </c>
      <c r="E14" s="2" t="s">
        <v>26</v>
      </c>
      <c r="F14" s="2" t="s">
        <v>15</v>
      </c>
      <c r="G14" s="3">
        <v>27000</v>
      </c>
      <c r="H14" s="3">
        <v>6500</v>
      </c>
      <c r="I14" t="str">
        <f t="shared" si="0"/>
        <v>Jan</v>
      </c>
      <c r="W14" s="8" t="s">
        <v>33</v>
      </c>
      <c r="X14">
        <v>1410900</v>
      </c>
    </row>
    <row r="15" spans="1:24" x14ac:dyDescent="0.3">
      <c r="A15" s="3">
        <v>1014</v>
      </c>
      <c r="B15" s="5">
        <v>45689</v>
      </c>
      <c r="C15" s="2" t="s">
        <v>22</v>
      </c>
      <c r="D15" s="2" t="s">
        <v>11</v>
      </c>
      <c r="E15" s="2" t="s">
        <v>12</v>
      </c>
      <c r="F15" s="2" t="s">
        <v>10</v>
      </c>
      <c r="G15" s="3">
        <v>22000</v>
      </c>
      <c r="H15" s="3">
        <v>3200</v>
      </c>
      <c r="I15" t="str">
        <f t="shared" si="0"/>
        <v>Feb</v>
      </c>
    </row>
    <row r="16" spans="1:24" x14ac:dyDescent="0.3">
      <c r="A16" s="3">
        <v>1015</v>
      </c>
      <c r="B16" s="5">
        <v>45717</v>
      </c>
      <c r="C16" s="2" t="s">
        <v>23</v>
      </c>
      <c r="D16" s="2" t="s">
        <v>13</v>
      </c>
      <c r="E16" s="2" t="s">
        <v>17</v>
      </c>
      <c r="F16" s="2" t="s">
        <v>15</v>
      </c>
      <c r="G16" s="3">
        <v>13000</v>
      </c>
      <c r="H16" s="3">
        <v>2600</v>
      </c>
      <c r="I16" t="str">
        <f t="shared" si="0"/>
        <v>Mar</v>
      </c>
    </row>
    <row r="17" spans="1:9" x14ac:dyDescent="0.3">
      <c r="A17" s="3">
        <v>1016</v>
      </c>
      <c r="B17" s="5">
        <v>45748</v>
      </c>
      <c r="C17" s="2" t="s">
        <v>24</v>
      </c>
      <c r="D17" s="2" t="s">
        <v>16</v>
      </c>
      <c r="E17" s="2" t="s">
        <v>9</v>
      </c>
      <c r="F17" s="2" t="s">
        <v>10</v>
      </c>
      <c r="G17" s="3">
        <v>51000</v>
      </c>
      <c r="H17" s="3">
        <v>8100</v>
      </c>
      <c r="I17" t="str">
        <f t="shared" si="0"/>
        <v>Apr</v>
      </c>
    </row>
    <row r="18" spans="1:9" x14ac:dyDescent="0.3">
      <c r="A18" s="3">
        <v>1017</v>
      </c>
      <c r="B18" s="5">
        <v>45778</v>
      </c>
      <c r="C18" s="2" t="s">
        <v>25</v>
      </c>
      <c r="D18" s="2" t="s">
        <v>8</v>
      </c>
      <c r="E18" s="2" t="s">
        <v>14</v>
      </c>
      <c r="F18" s="2" t="s">
        <v>15</v>
      </c>
      <c r="G18" s="3">
        <v>9000</v>
      </c>
      <c r="H18" s="3">
        <v>1800</v>
      </c>
      <c r="I18" t="str">
        <f t="shared" si="0"/>
        <v>May</v>
      </c>
    </row>
    <row r="19" spans="1:9" x14ac:dyDescent="0.3">
      <c r="A19" s="3">
        <v>1018</v>
      </c>
      <c r="B19" s="5">
        <v>45809</v>
      </c>
      <c r="C19" s="2" t="s">
        <v>27</v>
      </c>
      <c r="D19" s="2" t="s">
        <v>11</v>
      </c>
      <c r="E19" s="2" t="s">
        <v>12</v>
      </c>
      <c r="F19" s="2" t="s">
        <v>10</v>
      </c>
      <c r="G19" s="3">
        <v>21000</v>
      </c>
      <c r="H19" s="3">
        <v>3100</v>
      </c>
      <c r="I19" t="str">
        <f t="shared" si="0"/>
        <v>Jun</v>
      </c>
    </row>
    <row r="20" spans="1:9" x14ac:dyDescent="0.3">
      <c r="A20" s="3">
        <v>1019</v>
      </c>
      <c r="B20" s="5">
        <v>45839</v>
      </c>
      <c r="C20" s="2" t="s">
        <v>28</v>
      </c>
      <c r="D20" s="2" t="s">
        <v>13</v>
      </c>
      <c r="E20" s="2" t="s">
        <v>26</v>
      </c>
      <c r="F20" s="2" t="s">
        <v>15</v>
      </c>
      <c r="G20" s="3">
        <v>26000</v>
      </c>
      <c r="H20" s="3">
        <v>6200</v>
      </c>
      <c r="I20" t="str">
        <f t="shared" si="0"/>
        <v>Jul</v>
      </c>
    </row>
    <row r="21" spans="1:9" x14ac:dyDescent="0.3">
      <c r="A21" s="3">
        <v>1020</v>
      </c>
      <c r="B21" s="5">
        <v>45870</v>
      </c>
      <c r="C21" s="2" t="s">
        <v>29</v>
      </c>
      <c r="D21" s="2" t="s">
        <v>16</v>
      </c>
      <c r="E21" s="2" t="s">
        <v>18</v>
      </c>
      <c r="F21" s="2" t="s">
        <v>10</v>
      </c>
      <c r="G21" s="3">
        <v>4000</v>
      </c>
      <c r="H21" s="3">
        <v>700</v>
      </c>
      <c r="I21" t="str">
        <f t="shared" si="0"/>
        <v>Aug</v>
      </c>
    </row>
    <row r="22" spans="1:9" x14ac:dyDescent="0.3">
      <c r="A22" s="3">
        <v>1021</v>
      </c>
      <c r="B22" s="5">
        <v>45901</v>
      </c>
      <c r="C22" s="2" t="s">
        <v>19</v>
      </c>
      <c r="D22" s="2" t="s">
        <v>8</v>
      </c>
      <c r="E22" s="2" t="s">
        <v>9</v>
      </c>
      <c r="F22" s="2" t="s">
        <v>10</v>
      </c>
      <c r="G22" s="3">
        <v>53000</v>
      </c>
      <c r="H22" s="3">
        <v>8300</v>
      </c>
      <c r="I22" t="str">
        <f t="shared" si="0"/>
        <v>Sep</v>
      </c>
    </row>
    <row r="23" spans="1:9" x14ac:dyDescent="0.3">
      <c r="A23" s="3">
        <v>1022</v>
      </c>
      <c r="B23" s="5">
        <v>45931</v>
      </c>
      <c r="C23" s="2" t="s">
        <v>20</v>
      </c>
      <c r="D23" s="2" t="s">
        <v>11</v>
      </c>
      <c r="E23" s="2" t="s">
        <v>12</v>
      </c>
      <c r="F23" s="2" t="s">
        <v>10</v>
      </c>
      <c r="G23" s="3">
        <v>24000</v>
      </c>
      <c r="H23" s="3">
        <v>3500</v>
      </c>
      <c r="I23" t="str">
        <f t="shared" si="0"/>
        <v>Oct</v>
      </c>
    </row>
    <row r="24" spans="1:9" x14ac:dyDescent="0.3">
      <c r="A24" s="3">
        <v>1023</v>
      </c>
      <c r="B24" s="5">
        <v>45962</v>
      </c>
      <c r="C24" s="2" t="s">
        <v>21</v>
      </c>
      <c r="D24" s="2" t="s">
        <v>13</v>
      </c>
      <c r="E24" s="2" t="s">
        <v>14</v>
      </c>
      <c r="F24" s="2" t="s">
        <v>15</v>
      </c>
      <c r="G24" s="3">
        <v>7500</v>
      </c>
      <c r="H24" s="3">
        <v>1600</v>
      </c>
      <c r="I24" t="str">
        <f t="shared" si="0"/>
        <v>Nov</v>
      </c>
    </row>
    <row r="25" spans="1:9" x14ac:dyDescent="0.3">
      <c r="A25" s="3">
        <v>1024</v>
      </c>
      <c r="B25" s="5">
        <v>45992</v>
      </c>
      <c r="C25" s="2" t="s">
        <v>22</v>
      </c>
      <c r="D25" s="2" t="s">
        <v>16</v>
      </c>
      <c r="E25" s="2" t="s">
        <v>17</v>
      </c>
      <c r="F25" s="2" t="s">
        <v>15</v>
      </c>
      <c r="G25" s="3">
        <v>15000</v>
      </c>
      <c r="H25" s="3">
        <v>3000</v>
      </c>
      <c r="I25" t="str">
        <f t="shared" si="0"/>
        <v>Dec</v>
      </c>
    </row>
    <row r="26" spans="1:9" x14ac:dyDescent="0.3">
      <c r="A26" s="3">
        <v>1025</v>
      </c>
      <c r="B26" s="5">
        <v>44927</v>
      </c>
      <c r="C26" s="2" t="s">
        <v>23</v>
      </c>
      <c r="D26" s="2" t="s">
        <v>8</v>
      </c>
      <c r="E26" s="2" t="s">
        <v>18</v>
      </c>
      <c r="F26" s="2" t="s">
        <v>10</v>
      </c>
      <c r="G26" s="3">
        <v>4500</v>
      </c>
      <c r="H26" s="3">
        <v>800</v>
      </c>
      <c r="I26" t="str">
        <f t="shared" si="0"/>
        <v>Jan</v>
      </c>
    </row>
    <row r="27" spans="1:9" x14ac:dyDescent="0.3">
      <c r="A27" s="3">
        <v>1026</v>
      </c>
      <c r="B27" s="5">
        <v>44958</v>
      </c>
      <c r="C27" s="2" t="s">
        <v>24</v>
      </c>
      <c r="D27" s="2" t="s">
        <v>11</v>
      </c>
      <c r="E27" s="2" t="s">
        <v>9</v>
      </c>
      <c r="F27" s="2" t="s">
        <v>10</v>
      </c>
      <c r="G27" s="3">
        <v>55000</v>
      </c>
      <c r="H27" s="3">
        <v>9000</v>
      </c>
      <c r="I27" t="str">
        <f t="shared" si="0"/>
        <v>Feb</v>
      </c>
    </row>
    <row r="28" spans="1:9" x14ac:dyDescent="0.3">
      <c r="A28" s="3">
        <v>1027</v>
      </c>
      <c r="B28" s="5">
        <v>44986</v>
      </c>
      <c r="C28" s="2" t="s">
        <v>25</v>
      </c>
      <c r="D28" s="2" t="s">
        <v>13</v>
      </c>
      <c r="E28" s="2" t="s">
        <v>26</v>
      </c>
      <c r="F28" s="2" t="s">
        <v>15</v>
      </c>
      <c r="G28" s="3">
        <v>28000</v>
      </c>
      <c r="H28" s="3">
        <v>6800</v>
      </c>
      <c r="I28" t="str">
        <f t="shared" si="0"/>
        <v>Mar</v>
      </c>
    </row>
    <row r="29" spans="1:9" x14ac:dyDescent="0.3">
      <c r="A29" s="3">
        <v>1028</v>
      </c>
      <c r="B29" s="5">
        <v>45017</v>
      </c>
      <c r="C29" s="2" t="s">
        <v>27</v>
      </c>
      <c r="D29" s="2" t="s">
        <v>16</v>
      </c>
      <c r="E29" s="2" t="s">
        <v>12</v>
      </c>
      <c r="F29" s="2" t="s">
        <v>10</v>
      </c>
      <c r="G29" s="3">
        <v>20000</v>
      </c>
      <c r="H29" s="3">
        <v>2900</v>
      </c>
      <c r="I29" t="str">
        <f t="shared" si="0"/>
        <v>Apr</v>
      </c>
    </row>
    <row r="30" spans="1:9" x14ac:dyDescent="0.3">
      <c r="A30" s="3">
        <v>1029</v>
      </c>
      <c r="B30" s="5">
        <v>45047</v>
      </c>
      <c r="C30" s="2" t="s">
        <v>28</v>
      </c>
      <c r="D30" s="2" t="s">
        <v>8</v>
      </c>
      <c r="E30" s="2" t="s">
        <v>17</v>
      </c>
      <c r="F30" s="2" t="s">
        <v>15</v>
      </c>
      <c r="G30" s="3">
        <v>16000</v>
      </c>
      <c r="H30" s="3">
        <v>3200</v>
      </c>
      <c r="I30" t="str">
        <f t="shared" si="0"/>
        <v>May</v>
      </c>
    </row>
    <row r="31" spans="1:9" x14ac:dyDescent="0.3">
      <c r="A31" s="3">
        <v>1030</v>
      </c>
      <c r="B31" s="5">
        <v>45078</v>
      </c>
      <c r="C31" s="2" t="s">
        <v>29</v>
      </c>
      <c r="D31" s="2" t="s">
        <v>11</v>
      </c>
      <c r="E31" s="2" t="s">
        <v>9</v>
      </c>
      <c r="F31" s="2" t="s">
        <v>10</v>
      </c>
      <c r="G31" s="3">
        <v>47000</v>
      </c>
      <c r="H31" s="3">
        <v>7200</v>
      </c>
      <c r="I31" t="str">
        <f t="shared" si="0"/>
        <v>Jun</v>
      </c>
    </row>
    <row r="32" spans="1:9" x14ac:dyDescent="0.3">
      <c r="A32" s="3">
        <v>1031</v>
      </c>
      <c r="B32" s="5">
        <v>45108</v>
      </c>
      <c r="C32" s="2" t="s">
        <v>19</v>
      </c>
      <c r="D32" s="2" t="s">
        <v>13</v>
      </c>
      <c r="E32" s="2" t="s">
        <v>14</v>
      </c>
      <c r="F32" s="2" t="s">
        <v>15</v>
      </c>
      <c r="G32" s="3">
        <v>8200</v>
      </c>
      <c r="H32" s="3">
        <v>1700</v>
      </c>
      <c r="I32" t="str">
        <f t="shared" si="0"/>
        <v>Jul</v>
      </c>
    </row>
    <row r="33" spans="1:9" x14ac:dyDescent="0.3">
      <c r="A33" s="3">
        <v>1032</v>
      </c>
      <c r="B33" s="5">
        <v>45139</v>
      </c>
      <c r="C33" s="2" t="s">
        <v>20</v>
      </c>
      <c r="D33" s="2" t="s">
        <v>16</v>
      </c>
      <c r="E33" s="2" t="s">
        <v>18</v>
      </c>
      <c r="F33" s="2" t="s">
        <v>10</v>
      </c>
      <c r="G33" s="3">
        <v>3800</v>
      </c>
      <c r="H33" s="3">
        <v>650</v>
      </c>
      <c r="I33" t="str">
        <f t="shared" si="0"/>
        <v>Aug</v>
      </c>
    </row>
    <row r="34" spans="1:9" x14ac:dyDescent="0.3">
      <c r="A34" s="3">
        <v>1033</v>
      </c>
      <c r="B34" s="5">
        <v>45170</v>
      </c>
      <c r="C34" s="2" t="s">
        <v>21</v>
      </c>
      <c r="D34" s="2" t="s">
        <v>8</v>
      </c>
      <c r="E34" s="2" t="s">
        <v>26</v>
      </c>
      <c r="F34" s="2" t="s">
        <v>15</v>
      </c>
      <c r="G34" s="3">
        <v>29000</v>
      </c>
      <c r="H34" s="3">
        <v>7000</v>
      </c>
      <c r="I34" t="str">
        <f t="shared" si="0"/>
        <v>Sep</v>
      </c>
    </row>
    <row r="35" spans="1:9" x14ac:dyDescent="0.3">
      <c r="A35" s="3">
        <v>1034</v>
      </c>
      <c r="B35" s="5">
        <v>45200</v>
      </c>
      <c r="C35" s="2" t="s">
        <v>22</v>
      </c>
      <c r="D35" s="2" t="s">
        <v>11</v>
      </c>
      <c r="E35" s="2" t="s">
        <v>12</v>
      </c>
      <c r="F35" s="2" t="s">
        <v>10</v>
      </c>
      <c r="G35" s="3">
        <v>26000</v>
      </c>
      <c r="H35" s="3">
        <v>4000</v>
      </c>
      <c r="I35" t="str">
        <f t="shared" si="0"/>
        <v>Oct</v>
      </c>
    </row>
    <row r="36" spans="1:9" x14ac:dyDescent="0.3">
      <c r="A36" s="3">
        <v>1035</v>
      </c>
      <c r="B36" s="5">
        <v>45231</v>
      </c>
      <c r="C36" s="2" t="s">
        <v>23</v>
      </c>
      <c r="D36" s="2" t="s">
        <v>13</v>
      </c>
      <c r="E36" s="2" t="s">
        <v>17</v>
      </c>
      <c r="F36" s="2" t="s">
        <v>15</v>
      </c>
      <c r="G36" s="3">
        <v>17000</v>
      </c>
      <c r="H36" s="3">
        <v>3400</v>
      </c>
      <c r="I36" t="str">
        <f t="shared" si="0"/>
        <v>Nov</v>
      </c>
    </row>
    <row r="37" spans="1:9" x14ac:dyDescent="0.3">
      <c r="A37" s="3">
        <v>1036</v>
      </c>
      <c r="B37" s="5">
        <v>45261</v>
      </c>
      <c r="C37" s="2" t="s">
        <v>24</v>
      </c>
      <c r="D37" s="2" t="s">
        <v>16</v>
      </c>
      <c r="E37" s="2" t="s">
        <v>9</v>
      </c>
      <c r="F37" s="2" t="s">
        <v>10</v>
      </c>
      <c r="G37" s="3">
        <v>60000</v>
      </c>
      <c r="H37" s="3">
        <v>10000</v>
      </c>
      <c r="I37" t="str">
        <f t="shared" si="0"/>
        <v>Dec</v>
      </c>
    </row>
    <row r="38" spans="1:9" x14ac:dyDescent="0.3">
      <c r="A38" s="3">
        <v>1037</v>
      </c>
      <c r="B38" s="5">
        <v>44562</v>
      </c>
      <c r="C38" s="2" t="s">
        <v>25</v>
      </c>
      <c r="D38" s="2" t="s">
        <v>8</v>
      </c>
      <c r="E38" s="2" t="s">
        <v>14</v>
      </c>
      <c r="F38" s="2" t="s">
        <v>15</v>
      </c>
      <c r="G38" s="3">
        <v>9500</v>
      </c>
      <c r="H38" s="3">
        <v>2000</v>
      </c>
      <c r="I38" t="str">
        <f t="shared" si="0"/>
        <v>Jan</v>
      </c>
    </row>
    <row r="39" spans="1:9" x14ac:dyDescent="0.3">
      <c r="A39" s="3">
        <v>1038</v>
      </c>
      <c r="B39" s="5">
        <v>44593</v>
      </c>
      <c r="C39" s="2" t="s">
        <v>27</v>
      </c>
      <c r="D39" s="2" t="s">
        <v>11</v>
      </c>
      <c r="E39" s="2" t="s">
        <v>12</v>
      </c>
      <c r="F39" s="2" t="s">
        <v>10</v>
      </c>
      <c r="G39" s="3">
        <v>23000</v>
      </c>
      <c r="H39" s="3">
        <v>3300</v>
      </c>
      <c r="I39" t="str">
        <f t="shared" si="0"/>
        <v>Feb</v>
      </c>
    </row>
    <row r="40" spans="1:9" x14ac:dyDescent="0.3">
      <c r="A40" s="3">
        <v>1039</v>
      </c>
      <c r="B40" s="5">
        <v>44621</v>
      </c>
      <c r="C40" s="2" t="s">
        <v>28</v>
      </c>
      <c r="D40" s="2" t="s">
        <v>13</v>
      </c>
      <c r="E40" s="2" t="s">
        <v>26</v>
      </c>
      <c r="F40" s="2" t="s">
        <v>15</v>
      </c>
      <c r="G40" s="3">
        <v>30000</v>
      </c>
      <c r="H40" s="3">
        <v>7500</v>
      </c>
      <c r="I40" t="str">
        <f t="shared" si="0"/>
        <v>Mar</v>
      </c>
    </row>
    <row r="41" spans="1:9" x14ac:dyDescent="0.3">
      <c r="A41" s="3">
        <v>1040</v>
      </c>
      <c r="B41" s="5">
        <v>44652</v>
      </c>
      <c r="C41" s="2" t="s">
        <v>29</v>
      </c>
      <c r="D41" s="2" t="s">
        <v>16</v>
      </c>
      <c r="E41" s="2" t="s">
        <v>18</v>
      </c>
      <c r="F41" s="2" t="s">
        <v>10</v>
      </c>
      <c r="G41" s="3">
        <v>5000</v>
      </c>
      <c r="H41" s="3">
        <v>900</v>
      </c>
      <c r="I41" t="str">
        <f t="shared" si="0"/>
        <v>Apr</v>
      </c>
    </row>
    <row r="42" spans="1:9" x14ac:dyDescent="0.3">
      <c r="A42" s="3">
        <v>1041</v>
      </c>
      <c r="B42" s="5">
        <v>44682</v>
      </c>
      <c r="C42" s="2" t="s">
        <v>19</v>
      </c>
      <c r="D42" s="2" t="s">
        <v>8</v>
      </c>
      <c r="E42" s="2" t="s">
        <v>9</v>
      </c>
      <c r="F42" s="2" t="s">
        <v>10</v>
      </c>
      <c r="G42" s="3">
        <v>54000</v>
      </c>
      <c r="H42" s="3">
        <v>8500</v>
      </c>
      <c r="I42" t="str">
        <f t="shared" si="0"/>
        <v>May</v>
      </c>
    </row>
    <row r="43" spans="1:9" x14ac:dyDescent="0.3">
      <c r="A43" s="3">
        <v>1042</v>
      </c>
      <c r="B43" s="5">
        <v>44713</v>
      </c>
      <c r="C43" s="2" t="s">
        <v>20</v>
      </c>
      <c r="D43" s="2" t="s">
        <v>11</v>
      </c>
      <c r="E43" s="2" t="s">
        <v>12</v>
      </c>
      <c r="F43" s="2" t="s">
        <v>10</v>
      </c>
      <c r="G43" s="3">
        <v>25000</v>
      </c>
      <c r="H43" s="3">
        <v>3600</v>
      </c>
      <c r="I43" t="str">
        <f t="shared" si="0"/>
        <v>Jun</v>
      </c>
    </row>
    <row r="44" spans="1:9" x14ac:dyDescent="0.3">
      <c r="A44" s="3">
        <v>1043</v>
      </c>
      <c r="B44" s="5">
        <v>44743</v>
      </c>
      <c r="C44" s="2" t="s">
        <v>21</v>
      </c>
      <c r="D44" s="2" t="s">
        <v>13</v>
      </c>
      <c r="E44" s="2" t="s">
        <v>14</v>
      </c>
      <c r="F44" s="2" t="s">
        <v>15</v>
      </c>
      <c r="G44" s="3">
        <v>7800</v>
      </c>
      <c r="H44" s="3">
        <v>1650</v>
      </c>
      <c r="I44" t="str">
        <f t="shared" si="0"/>
        <v>Jul</v>
      </c>
    </row>
    <row r="45" spans="1:9" x14ac:dyDescent="0.3">
      <c r="A45" s="3">
        <v>1044</v>
      </c>
      <c r="B45" s="5">
        <v>44774</v>
      </c>
      <c r="C45" s="2" t="s">
        <v>22</v>
      </c>
      <c r="D45" s="2" t="s">
        <v>16</v>
      </c>
      <c r="E45" s="2" t="s">
        <v>17</v>
      </c>
      <c r="F45" s="2" t="s">
        <v>15</v>
      </c>
      <c r="G45" s="3">
        <v>15500</v>
      </c>
      <c r="H45" s="3">
        <v>3100</v>
      </c>
      <c r="I45" t="str">
        <f t="shared" si="0"/>
        <v>Aug</v>
      </c>
    </row>
    <row r="46" spans="1:9" x14ac:dyDescent="0.3">
      <c r="A46" s="3">
        <v>1045</v>
      </c>
      <c r="B46" s="5">
        <v>44805</v>
      </c>
      <c r="C46" s="2" t="s">
        <v>23</v>
      </c>
      <c r="D46" s="2" t="s">
        <v>8</v>
      </c>
      <c r="E46" s="2" t="s">
        <v>18</v>
      </c>
      <c r="F46" s="2" t="s">
        <v>10</v>
      </c>
      <c r="G46" s="3">
        <v>4800</v>
      </c>
      <c r="H46" s="3">
        <v>850</v>
      </c>
      <c r="I46" t="str">
        <f t="shared" si="0"/>
        <v>Sep</v>
      </c>
    </row>
    <row r="47" spans="1:9" x14ac:dyDescent="0.3">
      <c r="A47" s="3">
        <v>1046</v>
      </c>
      <c r="B47" s="5">
        <v>44835</v>
      </c>
      <c r="C47" s="2" t="s">
        <v>24</v>
      </c>
      <c r="D47" s="2" t="s">
        <v>11</v>
      </c>
      <c r="E47" s="2" t="s">
        <v>9</v>
      </c>
      <c r="F47" s="2" t="s">
        <v>10</v>
      </c>
      <c r="G47" s="3">
        <v>56000</v>
      </c>
      <c r="H47" s="3">
        <v>9200</v>
      </c>
      <c r="I47" t="str">
        <f t="shared" si="0"/>
        <v>Oct</v>
      </c>
    </row>
    <row r="48" spans="1:9" x14ac:dyDescent="0.3">
      <c r="A48" s="3">
        <v>1047</v>
      </c>
      <c r="B48" s="5">
        <v>44866</v>
      </c>
      <c r="C48" s="2" t="s">
        <v>25</v>
      </c>
      <c r="D48" s="2" t="s">
        <v>13</v>
      </c>
      <c r="E48" s="2" t="s">
        <v>26</v>
      </c>
      <c r="F48" s="2" t="s">
        <v>15</v>
      </c>
      <c r="G48" s="3">
        <v>28500</v>
      </c>
      <c r="H48" s="3">
        <v>6900</v>
      </c>
      <c r="I48" t="str">
        <f t="shared" si="0"/>
        <v>Nov</v>
      </c>
    </row>
    <row r="49" spans="1:9" x14ac:dyDescent="0.3">
      <c r="A49" s="3">
        <v>1048</v>
      </c>
      <c r="B49" s="5">
        <v>44896</v>
      </c>
      <c r="C49" s="2" t="s">
        <v>27</v>
      </c>
      <c r="D49" s="2" t="s">
        <v>16</v>
      </c>
      <c r="E49" s="2" t="s">
        <v>12</v>
      </c>
      <c r="F49" s="2" t="s">
        <v>10</v>
      </c>
      <c r="G49" s="3">
        <v>21000</v>
      </c>
      <c r="H49" s="3">
        <v>3000</v>
      </c>
      <c r="I49" t="str">
        <f t="shared" si="0"/>
        <v>Dec</v>
      </c>
    </row>
    <row r="50" spans="1:9" x14ac:dyDescent="0.3">
      <c r="A50" s="3">
        <v>1049</v>
      </c>
      <c r="B50" s="5">
        <v>44197</v>
      </c>
      <c r="C50" s="2" t="s">
        <v>28</v>
      </c>
      <c r="D50" s="2" t="s">
        <v>8</v>
      </c>
      <c r="E50" s="2" t="s">
        <v>17</v>
      </c>
      <c r="F50" s="2" t="s">
        <v>15</v>
      </c>
      <c r="G50" s="3">
        <v>16500</v>
      </c>
      <c r="H50" s="3">
        <v>3300</v>
      </c>
      <c r="I50" t="str">
        <f t="shared" si="0"/>
        <v>Jan</v>
      </c>
    </row>
    <row r="51" spans="1:9" x14ac:dyDescent="0.3">
      <c r="A51" s="3">
        <v>1050</v>
      </c>
      <c r="B51" s="5">
        <v>44228</v>
      </c>
      <c r="C51" s="2" t="s">
        <v>29</v>
      </c>
      <c r="D51" s="2" t="s">
        <v>11</v>
      </c>
      <c r="E51" s="2" t="s">
        <v>9</v>
      </c>
      <c r="F51" s="2" t="s">
        <v>10</v>
      </c>
      <c r="G51" s="3">
        <v>49000</v>
      </c>
      <c r="H51" s="3">
        <v>7600</v>
      </c>
      <c r="I51" t="str">
        <f t="shared" si="0"/>
        <v>Feb</v>
      </c>
    </row>
    <row r="52" spans="1:9" x14ac:dyDescent="0.3">
      <c r="A52" s="3">
        <v>1051</v>
      </c>
      <c r="B52" s="5">
        <v>44256</v>
      </c>
      <c r="C52" s="2" t="s">
        <v>19</v>
      </c>
      <c r="D52" s="2" t="s">
        <v>13</v>
      </c>
      <c r="E52" s="2" t="s">
        <v>14</v>
      </c>
      <c r="F52" s="2" t="s">
        <v>15</v>
      </c>
      <c r="G52" s="3">
        <v>8300</v>
      </c>
      <c r="H52" s="3">
        <v>1750</v>
      </c>
      <c r="I52" t="str">
        <f t="shared" si="0"/>
        <v>Mar</v>
      </c>
    </row>
    <row r="53" spans="1:9" x14ac:dyDescent="0.3">
      <c r="A53" s="3">
        <v>1052</v>
      </c>
      <c r="B53" s="5">
        <v>44287</v>
      </c>
      <c r="C53" s="2" t="s">
        <v>20</v>
      </c>
      <c r="D53" s="2" t="s">
        <v>16</v>
      </c>
      <c r="E53" s="2" t="s">
        <v>18</v>
      </c>
      <c r="F53" s="2" t="s">
        <v>10</v>
      </c>
      <c r="G53" s="3">
        <v>4000</v>
      </c>
      <c r="H53" s="3">
        <v>700</v>
      </c>
      <c r="I53" t="str">
        <f t="shared" si="0"/>
        <v>Apr</v>
      </c>
    </row>
    <row r="54" spans="1:9" x14ac:dyDescent="0.3">
      <c r="A54" s="3">
        <v>1053</v>
      </c>
      <c r="B54" s="5">
        <v>44317</v>
      </c>
      <c r="C54" s="2" t="s">
        <v>21</v>
      </c>
      <c r="D54" s="2" t="s">
        <v>8</v>
      </c>
      <c r="E54" s="2" t="s">
        <v>26</v>
      </c>
      <c r="F54" s="2" t="s">
        <v>15</v>
      </c>
      <c r="G54" s="3">
        <v>30000</v>
      </c>
      <c r="H54" s="3">
        <v>7200</v>
      </c>
      <c r="I54" t="str">
        <f t="shared" si="0"/>
        <v>May</v>
      </c>
    </row>
    <row r="55" spans="1:9" x14ac:dyDescent="0.3">
      <c r="A55" s="3">
        <v>1054</v>
      </c>
      <c r="B55" s="5">
        <v>44348</v>
      </c>
      <c r="C55" s="2" t="s">
        <v>22</v>
      </c>
      <c r="D55" s="2" t="s">
        <v>11</v>
      </c>
      <c r="E55" s="2" t="s">
        <v>12</v>
      </c>
      <c r="F55" s="2" t="s">
        <v>10</v>
      </c>
      <c r="G55" s="3">
        <v>27000</v>
      </c>
      <c r="H55" s="3">
        <v>4100</v>
      </c>
      <c r="I55" t="str">
        <f t="shared" si="0"/>
        <v>Jun</v>
      </c>
    </row>
    <row r="56" spans="1:9" x14ac:dyDescent="0.3">
      <c r="A56" s="3">
        <v>1055</v>
      </c>
      <c r="B56" s="5">
        <v>44378</v>
      </c>
      <c r="C56" s="2" t="s">
        <v>23</v>
      </c>
      <c r="D56" s="2" t="s">
        <v>13</v>
      </c>
      <c r="E56" s="2" t="s">
        <v>17</v>
      </c>
      <c r="F56" s="2" t="s">
        <v>15</v>
      </c>
      <c r="G56" s="3">
        <v>17500</v>
      </c>
      <c r="H56" s="3">
        <v>3500</v>
      </c>
      <c r="I56" t="str">
        <f t="shared" si="0"/>
        <v>Jul</v>
      </c>
    </row>
    <row r="57" spans="1:9" x14ac:dyDescent="0.3">
      <c r="A57" s="3">
        <v>1056</v>
      </c>
      <c r="B57" s="5">
        <v>44409</v>
      </c>
      <c r="C57" s="2" t="s">
        <v>24</v>
      </c>
      <c r="D57" s="2" t="s">
        <v>16</v>
      </c>
      <c r="E57" s="2" t="s">
        <v>9</v>
      </c>
      <c r="F57" s="2" t="s">
        <v>10</v>
      </c>
      <c r="G57" s="3">
        <v>61000</v>
      </c>
      <c r="H57" s="3">
        <v>10200</v>
      </c>
      <c r="I57" t="str">
        <f t="shared" si="0"/>
        <v>Aug</v>
      </c>
    </row>
    <row r="58" spans="1:9" x14ac:dyDescent="0.3">
      <c r="A58" s="3">
        <v>1057</v>
      </c>
      <c r="B58" s="5">
        <v>44440</v>
      </c>
      <c r="C58" s="2" t="s">
        <v>25</v>
      </c>
      <c r="D58" s="2" t="s">
        <v>8</v>
      </c>
      <c r="E58" s="2" t="s">
        <v>14</v>
      </c>
      <c r="F58" s="2" t="s">
        <v>15</v>
      </c>
      <c r="G58" s="3">
        <v>9800</v>
      </c>
      <c r="H58" s="3">
        <v>2100</v>
      </c>
      <c r="I58" t="str">
        <f t="shared" si="0"/>
        <v>Sep</v>
      </c>
    </row>
    <row r="59" spans="1:9" x14ac:dyDescent="0.3">
      <c r="A59" s="3">
        <v>1058</v>
      </c>
      <c r="B59" s="5">
        <v>44470</v>
      </c>
      <c r="C59" s="2" t="s">
        <v>27</v>
      </c>
      <c r="D59" s="2" t="s">
        <v>11</v>
      </c>
      <c r="E59" s="2" t="s">
        <v>12</v>
      </c>
      <c r="F59" s="2" t="s">
        <v>10</v>
      </c>
      <c r="G59" s="3">
        <v>24000</v>
      </c>
      <c r="H59" s="3">
        <v>3400</v>
      </c>
      <c r="I59" t="str">
        <f t="shared" si="0"/>
        <v>Oct</v>
      </c>
    </row>
    <row r="60" spans="1:9" x14ac:dyDescent="0.3">
      <c r="A60" s="3">
        <v>1059</v>
      </c>
      <c r="B60" s="5">
        <v>44501</v>
      </c>
      <c r="C60" s="2" t="s">
        <v>28</v>
      </c>
      <c r="D60" s="2" t="s">
        <v>13</v>
      </c>
      <c r="E60" s="2" t="s">
        <v>26</v>
      </c>
      <c r="F60" s="2" t="s">
        <v>15</v>
      </c>
      <c r="G60" s="3">
        <v>31000</v>
      </c>
      <c r="H60" s="3">
        <v>7700</v>
      </c>
      <c r="I60" t="str">
        <f t="shared" si="0"/>
        <v>Nov</v>
      </c>
    </row>
    <row r="61" spans="1:9" x14ac:dyDescent="0.3">
      <c r="A61" s="3">
        <v>1060</v>
      </c>
      <c r="B61" s="5">
        <v>44531</v>
      </c>
      <c r="C61" s="2" t="s">
        <v>29</v>
      </c>
      <c r="D61" s="2" t="s">
        <v>16</v>
      </c>
      <c r="E61" s="2" t="s">
        <v>18</v>
      </c>
      <c r="F61" s="2" t="s">
        <v>10</v>
      </c>
      <c r="G61" s="3">
        <v>5200</v>
      </c>
      <c r="H61" s="3">
        <v>950</v>
      </c>
      <c r="I61" t="str">
        <f t="shared" si="0"/>
        <v>Dec</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5B307-9B8C-4083-928A-4B6558850458}">
  <dimension ref="A2:AB62"/>
  <sheetViews>
    <sheetView topLeftCell="C1" zoomScale="107" zoomScaleNormal="107" workbookViewId="0">
      <selection activeCell="R6" sqref="R6"/>
    </sheetView>
  </sheetViews>
  <sheetFormatPr defaultColWidth="9" defaultRowHeight="14.4" x14ac:dyDescent="0.3"/>
  <cols>
    <col min="1" max="1" width="17.33203125" customWidth="1"/>
    <col min="2" max="2" width="22.6640625" style="6" customWidth="1"/>
    <col min="3" max="3" width="9.5546875" bestFit="1" customWidth="1"/>
    <col min="4" max="4" width="7.109375" bestFit="1" customWidth="1"/>
    <col min="5" max="5" width="11.109375" bestFit="1" customWidth="1"/>
    <col min="6" max="6" width="10" bestFit="1" customWidth="1"/>
    <col min="7" max="7" width="14.21875" customWidth="1"/>
    <col min="8" max="8" width="6" bestFit="1" customWidth="1"/>
    <col min="9" max="9" width="15.21875" customWidth="1"/>
    <col min="10" max="10" width="15.77734375" customWidth="1"/>
    <col min="11" max="13" width="8.77734375" customWidth="1"/>
  </cols>
  <sheetData>
    <row r="2" spans="1:28" x14ac:dyDescent="0.3">
      <c r="A2" s="1" t="s">
        <v>0</v>
      </c>
      <c r="B2" s="4" t="s">
        <v>1</v>
      </c>
      <c r="C2" s="1" t="s">
        <v>2</v>
      </c>
      <c r="D2" s="1" t="s">
        <v>3</v>
      </c>
      <c r="E2" s="1" t="s">
        <v>4</v>
      </c>
      <c r="F2" s="1" t="s">
        <v>5</v>
      </c>
      <c r="G2" s="1" t="s">
        <v>6</v>
      </c>
      <c r="H2" s="1" t="s">
        <v>7</v>
      </c>
      <c r="I2" s="1" t="s">
        <v>30</v>
      </c>
      <c r="J2" s="1" t="s">
        <v>31</v>
      </c>
      <c r="K2" s="1" t="s">
        <v>49</v>
      </c>
      <c r="L2" s="1"/>
      <c r="M2" s="1" t="s">
        <v>51</v>
      </c>
      <c r="O2" s="1" t="s">
        <v>50</v>
      </c>
      <c r="P2" s="1" t="s">
        <v>0</v>
      </c>
      <c r="Q2" s="1" t="s">
        <v>6</v>
      </c>
      <c r="S2" s="1" t="s">
        <v>0</v>
      </c>
      <c r="T2" s="4" t="s">
        <v>1</v>
      </c>
      <c r="U2" s="1" t="s">
        <v>2</v>
      </c>
      <c r="V2" s="1" t="s">
        <v>3</v>
      </c>
      <c r="W2" s="1" t="s">
        <v>4</v>
      </c>
      <c r="X2" s="1" t="s">
        <v>5</v>
      </c>
      <c r="Y2" s="1" t="s">
        <v>6</v>
      </c>
      <c r="Z2" s="1" t="s">
        <v>7</v>
      </c>
      <c r="AA2" s="1" t="s">
        <v>30</v>
      </c>
      <c r="AB2" s="1" t="s">
        <v>31</v>
      </c>
    </row>
    <row r="3" spans="1:28" x14ac:dyDescent="0.3">
      <c r="A3" s="3">
        <v>1001</v>
      </c>
      <c r="B3" s="5">
        <v>45292</v>
      </c>
      <c r="C3" s="2" t="s">
        <v>19</v>
      </c>
      <c r="D3" s="2" t="s">
        <v>8</v>
      </c>
      <c r="E3" s="2" t="s">
        <v>9</v>
      </c>
      <c r="F3" s="2" t="s">
        <v>10</v>
      </c>
      <c r="G3" s="3">
        <v>50000</v>
      </c>
      <c r="H3" s="3">
        <v>8000</v>
      </c>
      <c r="I3" t="str">
        <f>TEXT(B3,"mmm-yyyy")</f>
        <v>Jan-2024</v>
      </c>
      <c r="J3" t="str">
        <f>TEXT(B3,"mmm")</f>
        <v>Jan</v>
      </c>
      <c r="K3">
        <f>VLOOKUP(A3,Raw_Data!A1:I61,8,FALSE)</f>
        <v>8000</v>
      </c>
      <c r="L3" t="s">
        <v>52</v>
      </c>
      <c r="M3">
        <f>COUNTIF(D3:D62,"south")</f>
        <v>15</v>
      </c>
      <c r="N3">
        <f>INDEX(G:G, MATCH(A3, A:A, 0))</f>
        <v>50000</v>
      </c>
      <c r="O3" t="str">
        <f>IF(G3&gt;10000,"High","low")</f>
        <v>High</v>
      </c>
      <c r="P3">
        <v>1058</v>
      </c>
      <c r="Q3">
        <f>INDEX(G:G,MATCH(P3,A:A,0))</f>
        <v>24000</v>
      </c>
      <c r="S3" s="1">
        <v>1001</v>
      </c>
      <c r="T3" s="4">
        <f>INDEX($A$3:$J$62,MATCH($S$3,$A$3:$A$62,0),MATCH(T$2,$A$2:$J$2,0))</f>
        <v>45292</v>
      </c>
      <c r="U3" s="4" t="str">
        <f>INDEX($A$3:$J$62,MATCH($S$3,$A$3:$A$62,0),MATCH(U$2,$A$2:$J$2,0))</f>
        <v>Riya</v>
      </c>
      <c r="V3" s="4" t="str">
        <f>INDEX($A$3:$J$62,MATCH($S$3,$A$3:$A$62,0),MATCH(V$2,$A$2:$J$2,0))</f>
        <v>West</v>
      </c>
      <c r="W3" s="4" t="str">
        <f>INDEX($A$3:$J$62,MATCH($S$3,$A$3:$A$62,0),MATCH(W$2,$A$2:$J$2,0))</f>
        <v>Laptop</v>
      </c>
      <c r="X3" s="4" t="str">
        <f>INDEX($A$3:$J$62,MATCH($S$3,$A$3:$A$62,0),MATCH(X$2,$A$2:$J$2,0))</f>
        <v>Electronics</v>
      </c>
      <c r="Y3" s="1">
        <f>INDEX($A$3:$J$62,MATCH($S$3,$A$3:$A$62,0),MATCH(Y$2,$A$2:$J$2,0))</f>
        <v>50000</v>
      </c>
      <c r="Z3" s="1">
        <f>INDEX($A$3:$J$62,MATCH($S$3,$A$3:$A$62,0),MATCH(Z$2,$A$2:$J$2,0))</f>
        <v>8000</v>
      </c>
      <c r="AA3" s="4" t="str">
        <f>INDEX($A$3:$J$62,MATCH($S$3,$A$3:$A$62,0),MATCH(AA$2,$A$2:$J$2,0))</f>
        <v>Jan-2024</v>
      </c>
      <c r="AB3" s="4" t="str">
        <f>INDEX($A$3:$J$62,MATCH($S$3,$A$3:$A$62,0),MATCH(AB$2,$A$2:$J$2,0))</f>
        <v>Jan</v>
      </c>
    </row>
    <row r="4" spans="1:28" x14ac:dyDescent="0.3">
      <c r="A4" s="3">
        <v>1002</v>
      </c>
      <c r="B4" s="5">
        <v>45323</v>
      </c>
      <c r="C4" s="2" t="s">
        <v>20</v>
      </c>
      <c r="D4" s="2" t="s">
        <v>11</v>
      </c>
      <c r="E4" s="2" t="s">
        <v>12</v>
      </c>
      <c r="F4" s="2" t="s">
        <v>10</v>
      </c>
      <c r="G4" s="3">
        <v>20000</v>
      </c>
      <c r="H4" s="3">
        <v>3000</v>
      </c>
      <c r="I4" t="str">
        <f t="shared" ref="I4:I62" si="0">TEXT(B4,"mmm-yyyy")</f>
        <v>Feb-2024</v>
      </c>
      <c r="J4" t="str">
        <f t="shared" ref="J4:J5" si="1">TEXT(B4,"mmm")</f>
        <v>Feb</v>
      </c>
      <c r="K4">
        <f>VLOOKUP(A4,Raw_Data!A2:I62,8,FALSE)</f>
        <v>3000</v>
      </c>
      <c r="L4" t="s">
        <v>53</v>
      </c>
      <c r="M4">
        <f>COUNTIF(D3:D62,"North")</f>
        <v>15</v>
      </c>
      <c r="O4" t="str">
        <f t="shared" ref="O4:O62" si="2">IF(G4&gt;10000,"High","low")</f>
        <v>High</v>
      </c>
      <c r="S4" s="1"/>
    </row>
    <row r="5" spans="1:28" x14ac:dyDescent="0.3">
      <c r="A5" s="3">
        <v>1003</v>
      </c>
      <c r="B5" s="5">
        <v>45352</v>
      </c>
      <c r="C5" s="2" t="s">
        <v>21</v>
      </c>
      <c r="D5" s="2" t="s">
        <v>13</v>
      </c>
      <c r="E5" s="2" t="s">
        <v>14</v>
      </c>
      <c r="F5" s="2" t="s">
        <v>15</v>
      </c>
      <c r="G5" s="3">
        <v>7000</v>
      </c>
      <c r="H5" s="3">
        <v>1500</v>
      </c>
      <c r="I5" t="str">
        <f t="shared" si="0"/>
        <v>Mar-2024</v>
      </c>
      <c r="J5" t="str">
        <f t="shared" si="1"/>
        <v>Mar</v>
      </c>
      <c r="K5">
        <f>VLOOKUP(A5,Raw_Data!A3:I63,8,FALSE)</f>
        <v>1500</v>
      </c>
      <c r="L5" t="s">
        <v>54</v>
      </c>
      <c r="M5">
        <f>COUNTIF(D3:D63,"east")</f>
        <v>15</v>
      </c>
      <c r="O5" t="str">
        <f t="shared" si="2"/>
        <v>low</v>
      </c>
      <c r="S5" s="1"/>
    </row>
    <row r="6" spans="1:28" x14ac:dyDescent="0.3">
      <c r="A6" s="3">
        <v>1004</v>
      </c>
      <c r="B6" s="5">
        <v>45383</v>
      </c>
      <c r="C6" s="2" t="s">
        <v>22</v>
      </c>
      <c r="D6" s="2" t="s">
        <v>16</v>
      </c>
      <c r="E6" s="2" t="s">
        <v>17</v>
      </c>
      <c r="F6" s="2" t="s">
        <v>15</v>
      </c>
      <c r="G6" s="3">
        <v>12000</v>
      </c>
      <c r="H6" s="3">
        <v>2500</v>
      </c>
      <c r="I6" t="str">
        <f t="shared" si="0"/>
        <v>Apr-2024</v>
      </c>
      <c r="J6" t="str">
        <f t="shared" ref="J6:J62" si="3">TEXT(B6,"mmm")</f>
        <v>Apr</v>
      </c>
      <c r="K6">
        <f>VLOOKUP(A6,Raw_Data!A4:I64,8,FALSE)</f>
        <v>2500</v>
      </c>
      <c r="L6" t="s">
        <v>55</v>
      </c>
      <c r="M6">
        <f>COUNTIF(D3:D64,"west")</f>
        <v>15</v>
      </c>
      <c r="O6" t="str">
        <f t="shared" si="2"/>
        <v>High</v>
      </c>
      <c r="Q6" t="s">
        <v>60</v>
      </c>
      <c r="R6">
        <f>SUM(G:G)</f>
        <v>1410900</v>
      </c>
      <c r="S6" s="1"/>
    </row>
    <row r="7" spans="1:28" x14ac:dyDescent="0.3">
      <c r="A7" s="3">
        <v>1005</v>
      </c>
      <c r="B7" s="5">
        <v>45413</v>
      </c>
      <c r="C7" s="2" t="s">
        <v>23</v>
      </c>
      <c r="D7" s="2" t="s">
        <v>8</v>
      </c>
      <c r="E7" s="2" t="s">
        <v>18</v>
      </c>
      <c r="F7" s="2" t="s">
        <v>10</v>
      </c>
      <c r="G7" s="3">
        <v>3000</v>
      </c>
      <c r="H7" s="3">
        <v>500</v>
      </c>
      <c r="I7" t="str">
        <f t="shared" si="0"/>
        <v>May-2024</v>
      </c>
      <c r="J7" t="str">
        <f t="shared" si="3"/>
        <v>May</v>
      </c>
      <c r="K7">
        <f>VLOOKUP(A7,Raw_Data!A5:I65,8,FALSE)</f>
        <v>500</v>
      </c>
      <c r="O7" t="str">
        <f t="shared" si="2"/>
        <v>low</v>
      </c>
      <c r="Q7" t="s">
        <v>61</v>
      </c>
      <c r="R7">
        <f>SUM(H:H)</f>
        <v>253050</v>
      </c>
      <c r="S7" s="1"/>
    </row>
    <row r="8" spans="1:28" x14ac:dyDescent="0.3">
      <c r="A8" s="3">
        <v>1006</v>
      </c>
      <c r="B8" s="5">
        <v>45444</v>
      </c>
      <c r="C8" s="2" t="s">
        <v>24</v>
      </c>
      <c r="D8" s="2" t="s">
        <v>11</v>
      </c>
      <c r="E8" s="2" t="s">
        <v>9</v>
      </c>
      <c r="F8" s="2" t="s">
        <v>10</v>
      </c>
      <c r="G8" s="3">
        <v>52000</v>
      </c>
      <c r="H8" s="3">
        <v>8200</v>
      </c>
      <c r="I8" t="str">
        <f t="shared" si="0"/>
        <v>Jun-2024</v>
      </c>
      <c r="J8" t="str">
        <f t="shared" si="3"/>
        <v>Jun</v>
      </c>
      <c r="K8">
        <f>VLOOKUP(A8,Raw_Data!A6:I66,8,FALSE)</f>
        <v>8200</v>
      </c>
      <c r="O8" t="str">
        <f t="shared" si="2"/>
        <v>High</v>
      </c>
      <c r="P8" s="1"/>
      <c r="Q8" t="s">
        <v>62</v>
      </c>
      <c r="R8" s="1">
        <f>COUNTA(A3:A62)</f>
        <v>60</v>
      </c>
      <c r="S8" s="1"/>
      <c r="T8" s="1"/>
      <c r="U8" s="1"/>
      <c r="V8" s="1"/>
      <c r="W8" s="1"/>
      <c r="X8" s="1"/>
      <c r="Y8" s="1"/>
    </row>
    <row r="9" spans="1:28" x14ac:dyDescent="0.3">
      <c r="A9" s="3">
        <v>1007</v>
      </c>
      <c r="B9" s="5">
        <v>45474</v>
      </c>
      <c r="C9" s="2" t="s">
        <v>25</v>
      </c>
      <c r="D9" s="2" t="s">
        <v>13</v>
      </c>
      <c r="E9" s="2" t="s">
        <v>26</v>
      </c>
      <c r="F9" s="2" t="s">
        <v>15</v>
      </c>
      <c r="G9" s="3">
        <v>25000</v>
      </c>
      <c r="H9" s="3">
        <v>6000</v>
      </c>
      <c r="I9" t="str">
        <f t="shared" si="0"/>
        <v>Jul-2024</v>
      </c>
      <c r="J9" t="str">
        <f t="shared" si="3"/>
        <v>Jul</v>
      </c>
      <c r="K9">
        <f>VLOOKUP(A9,Raw_Data!A7:I67,8,FALSE)</f>
        <v>6000</v>
      </c>
      <c r="O9" t="str">
        <f t="shared" si="2"/>
        <v>High</v>
      </c>
      <c r="S9" s="1"/>
    </row>
    <row r="10" spans="1:28" x14ac:dyDescent="0.3">
      <c r="A10" s="3">
        <v>1008</v>
      </c>
      <c r="B10" s="5">
        <v>45505</v>
      </c>
      <c r="C10" s="2" t="s">
        <v>27</v>
      </c>
      <c r="D10" s="2" t="s">
        <v>16</v>
      </c>
      <c r="E10" s="2" t="s">
        <v>12</v>
      </c>
      <c r="F10" s="2" t="s">
        <v>10</v>
      </c>
      <c r="G10" s="3">
        <v>18000</v>
      </c>
      <c r="H10" s="3">
        <v>2500</v>
      </c>
      <c r="I10" t="str">
        <f t="shared" si="0"/>
        <v>Aug-2024</v>
      </c>
      <c r="J10" t="str">
        <f t="shared" si="3"/>
        <v>Aug</v>
      </c>
      <c r="K10">
        <f>VLOOKUP(A10,Raw_Data!A8:I68,8,FALSE)</f>
        <v>2500</v>
      </c>
      <c r="O10" t="str">
        <f t="shared" si="2"/>
        <v>High</v>
      </c>
      <c r="S10" s="1"/>
    </row>
    <row r="11" spans="1:28" x14ac:dyDescent="0.3">
      <c r="A11" s="3">
        <v>1009</v>
      </c>
      <c r="B11" s="5">
        <v>45536</v>
      </c>
      <c r="C11" s="2" t="s">
        <v>28</v>
      </c>
      <c r="D11" s="2" t="s">
        <v>8</v>
      </c>
      <c r="E11" s="2" t="s">
        <v>17</v>
      </c>
      <c r="F11" s="2" t="s">
        <v>15</v>
      </c>
      <c r="G11" s="3">
        <v>14000</v>
      </c>
      <c r="H11" s="3">
        <v>2800</v>
      </c>
      <c r="I11" t="str">
        <f t="shared" si="0"/>
        <v>Sep-2024</v>
      </c>
      <c r="J11" t="str">
        <f t="shared" si="3"/>
        <v>Sep</v>
      </c>
      <c r="K11">
        <f>VLOOKUP(A11,Raw_Data!A9:I69,8,FALSE)</f>
        <v>2800</v>
      </c>
      <c r="O11" t="str">
        <f t="shared" si="2"/>
        <v>High</v>
      </c>
      <c r="S11" s="1"/>
    </row>
    <row r="12" spans="1:28" x14ac:dyDescent="0.3">
      <c r="A12" s="3">
        <v>1010</v>
      </c>
      <c r="B12" s="5">
        <v>45566</v>
      </c>
      <c r="C12" s="2" t="s">
        <v>29</v>
      </c>
      <c r="D12" s="2" t="s">
        <v>11</v>
      </c>
      <c r="E12" s="2" t="s">
        <v>9</v>
      </c>
      <c r="F12" s="2" t="s">
        <v>10</v>
      </c>
      <c r="G12" s="3">
        <v>48000</v>
      </c>
      <c r="H12" s="3">
        <v>7500</v>
      </c>
      <c r="I12" t="str">
        <f t="shared" si="0"/>
        <v>Oct-2024</v>
      </c>
      <c r="J12" t="str">
        <f t="shared" si="3"/>
        <v>Oct</v>
      </c>
      <c r="K12">
        <f>VLOOKUP(A12,Raw_Data!A10:I70,8,FALSE)</f>
        <v>7500</v>
      </c>
      <c r="O12" t="str">
        <f t="shared" si="2"/>
        <v>High</v>
      </c>
    </row>
    <row r="13" spans="1:28" x14ac:dyDescent="0.3">
      <c r="A13" s="3">
        <v>1011</v>
      </c>
      <c r="B13" s="5">
        <v>45597</v>
      </c>
      <c r="C13" s="2" t="s">
        <v>19</v>
      </c>
      <c r="D13" s="2" t="s">
        <v>13</v>
      </c>
      <c r="E13" s="2" t="s">
        <v>14</v>
      </c>
      <c r="F13" s="2" t="s">
        <v>15</v>
      </c>
      <c r="G13" s="3">
        <v>8000</v>
      </c>
      <c r="H13" s="3">
        <v>1700</v>
      </c>
      <c r="I13" t="str">
        <f t="shared" si="0"/>
        <v>Nov-2024</v>
      </c>
      <c r="J13" t="str">
        <f t="shared" si="3"/>
        <v>Nov</v>
      </c>
      <c r="K13">
        <f>VLOOKUP(A13,Raw_Data!A11:I71,8,FALSE)</f>
        <v>1700</v>
      </c>
      <c r="O13" t="str">
        <f t="shared" si="2"/>
        <v>low</v>
      </c>
    </row>
    <row r="14" spans="1:28" x14ac:dyDescent="0.3">
      <c r="A14" s="3">
        <v>1012</v>
      </c>
      <c r="B14" s="5">
        <v>45627</v>
      </c>
      <c r="C14" s="2" t="s">
        <v>20</v>
      </c>
      <c r="D14" s="2" t="s">
        <v>16</v>
      </c>
      <c r="E14" s="2" t="s">
        <v>18</v>
      </c>
      <c r="F14" s="2" t="s">
        <v>10</v>
      </c>
      <c r="G14" s="3">
        <v>3500</v>
      </c>
      <c r="H14" s="3">
        <v>600</v>
      </c>
      <c r="I14" t="str">
        <f t="shared" si="0"/>
        <v>Dec-2024</v>
      </c>
      <c r="J14" t="str">
        <f t="shared" si="3"/>
        <v>Dec</v>
      </c>
      <c r="K14">
        <f>VLOOKUP(A14,Raw_Data!A12:I72,8,FALSE)</f>
        <v>600</v>
      </c>
      <c r="O14" t="str">
        <f t="shared" si="2"/>
        <v>low</v>
      </c>
    </row>
    <row r="15" spans="1:28" x14ac:dyDescent="0.3">
      <c r="A15" s="3">
        <v>1013</v>
      </c>
      <c r="B15" s="5">
        <v>45658</v>
      </c>
      <c r="C15" s="2" t="s">
        <v>21</v>
      </c>
      <c r="D15" s="2" t="s">
        <v>8</v>
      </c>
      <c r="E15" s="2" t="s">
        <v>26</v>
      </c>
      <c r="F15" s="2" t="s">
        <v>15</v>
      </c>
      <c r="G15" s="3">
        <v>27000</v>
      </c>
      <c r="H15" s="3">
        <v>6500</v>
      </c>
      <c r="I15" t="str">
        <f t="shared" si="0"/>
        <v>Jan-2025</v>
      </c>
      <c r="J15" t="str">
        <f t="shared" si="3"/>
        <v>Jan</v>
      </c>
      <c r="K15">
        <f>VLOOKUP(A15,Raw_Data!A13:I73,8,FALSE)</f>
        <v>6500</v>
      </c>
      <c r="O15" t="str">
        <f t="shared" si="2"/>
        <v>High</v>
      </c>
    </row>
    <row r="16" spans="1:28" x14ac:dyDescent="0.3">
      <c r="A16" s="3">
        <v>1014</v>
      </c>
      <c r="B16" s="5">
        <v>45689</v>
      </c>
      <c r="C16" s="2" t="s">
        <v>22</v>
      </c>
      <c r="D16" s="2" t="s">
        <v>11</v>
      </c>
      <c r="E16" s="2" t="s">
        <v>12</v>
      </c>
      <c r="F16" s="2" t="s">
        <v>10</v>
      </c>
      <c r="G16" s="3">
        <v>22000</v>
      </c>
      <c r="H16" s="3">
        <v>3200</v>
      </c>
      <c r="I16" t="str">
        <f t="shared" si="0"/>
        <v>Feb-2025</v>
      </c>
      <c r="J16" t="str">
        <f t="shared" si="3"/>
        <v>Feb</v>
      </c>
      <c r="K16">
        <f>VLOOKUP(A16,Raw_Data!A14:I74,8,FALSE)</f>
        <v>3200</v>
      </c>
      <c r="O16" t="str">
        <f t="shared" si="2"/>
        <v>High</v>
      </c>
    </row>
    <row r="17" spans="1:15" x14ac:dyDescent="0.3">
      <c r="A17" s="3">
        <v>1015</v>
      </c>
      <c r="B17" s="5">
        <v>45717</v>
      </c>
      <c r="C17" s="2" t="s">
        <v>23</v>
      </c>
      <c r="D17" s="2" t="s">
        <v>13</v>
      </c>
      <c r="E17" s="2" t="s">
        <v>17</v>
      </c>
      <c r="F17" s="2" t="s">
        <v>15</v>
      </c>
      <c r="G17" s="3">
        <v>13000</v>
      </c>
      <c r="H17" s="3">
        <v>2600</v>
      </c>
      <c r="I17" t="str">
        <f t="shared" si="0"/>
        <v>Mar-2025</v>
      </c>
      <c r="J17" t="str">
        <f t="shared" si="3"/>
        <v>Mar</v>
      </c>
      <c r="K17">
        <f>VLOOKUP(A17,Raw_Data!A15:I75,8,FALSE)</f>
        <v>2600</v>
      </c>
      <c r="O17" t="str">
        <f t="shared" si="2"/>
        <v>High</v>
      </c>
    </row>
    <row r="18" spans="1:15" x14ac:dyDescent="0.3">
      <c r="A18" s="3">
        <v>1016</v>
      </c>
      <c r="B18" s="5">
        <v>45748</v>
      </c>
      <c r="C18" s="2" t="s">
        <v>24</v>
      </c>
      <c r="D18" s="2" t="s">
        <v>16</v>
      </c>
      <c r="E18" s="2" t="s">
        <v>9</v>
      </c>
      <c r="F18" s="2" t="s">
        <v>10</v>
      </c>
      <c r="G18" s="3">
        <v>51000</v>
      </c>
      <c r="H18" s="3">
        <v>8100</v>
      </c>
      <c r="I18" t="str">
        <f t="shared" si="0"/>
        <v>Apr-2025</v>
      </c>
      <c r="J18" t="str">
        <f t="shared" si="3"/>
        <v>Apr</v>
      </c>
      <c r="K18">
        <f>VLOOKUP(A18,Raw_Data!A16:I76,8,FALSE)</f>
        <v>8100</v>
      </c>
      <c r="O18" t="str">
        <f t="shared" si="2"/>
        <v>High</v>
      </c>
    </row>
    <row r="19" spans="1:15" x14ac:dyDescent="0.3">
      <c r="A19" s="3">
        <v>1017</v>
      </c>
      <c r="B19" s="5">
        <v>45778</v>
      </c>
      <c r="C19" s="2" t="s">
        <v>25</v>
      </c>
      <c r="D19" s="2" t="s">
        <v>8</v>
      </c>
      <c r="E19" s="2" t="s">
        <v>14</v>
      </c>
      <c r="F19" s="2" t="s">
        <v>15</v>
      </c>
      <c r="G19" s="3">
        <v>9000</v>
      </c>
      <c r="H19" s="3">
        <v>1800</v>
      </c>
      <c r="I19" t="str">
        <f t="shared" si="0"/>
        <v>May-2025</v>
      </c>
      <c r="J19" t="str">
        <f t="shared" si="3"/>
        <v>May</v>
      </c>
      <c r="K19">
        <f>VLOOKUP(A19,Raw_Data!A17:I77,8,FALSE)</f>
        <v>1800</v>
      </c>
      <c r="O19" t="str">
        <f t="shared" si="2"/>
        <v>low</v>
      </c>
    </row>
    <row r="20" spans="1:15" x14ac:dyDescent="0.3">
      <c r="A20" s="3">
        <v>1018</v>
      </c>
      <c r="B20" s="5">
        <v>45809</v>
      </c>
      <c r="C20" s="2" t="s">
        <v>27</v>
      </c>
      <c r="D20" s="2" t="s">
        <v>11</v>
      </c>
      <c r="E20" s="2" t="s">
        <v>12</v>
      </c>
      <c r="F20" s="2" t="s">
        <v>10</v>
      </c>
      <c r="G20" s="3">
        <v>21000</v>
      </c>
      <c r="H20" s="3">
        <v>3100</v>
      </c>
      <c r="I20" t="str">
        <f t="shared" si="0"/>
        <v>Jun-2025</v>
      </c>
      <c r="J20" t="str">
        <f t="shared" si="3"/>
        <v>Jun</v>
      </c>
      <c r="K20">
        <f>VLOOKUP(A20,Raw_Data!A18:I78,8,FALSE)</f>
        <v>3100</v>
      </c>
      <c r="O20" t="str">
        <f t="shared" si="2"/>
        <v>High</v>
      </c>
    </row>
    <row r="21" spans="1:15" x14ac:dyDescent="0.3">
      <c r="A21" s="3">
        <v>1019</v>
      </c>
      <c r="B21" s="5">
        <v>45839</v>
      </c>
      <c r="C21" s="2" t="s">
        <v>28</v>
      </c>
      <c r="D21" s="2" t="s">
        <v>13</v>
      </c>
      <c r="E21" s="2" t="s">
        <v>26</v>
      </c>
      <c r="F21" s="2" t="s">
        <v>15</v>
      </c>
      <c r="G21" s="3">
        <v>26000</v>
      </c>
      <c r="H21" s="3">
        <v>6200</v>
      </c>
      <c r="I21" t="str">
        <f t="shared" si="0"/>
        <v>Jul-2025</v>
      </c>
      <c r="J21" t="str">
        <f t="shared" si="3"/>
        <v>Jul</v>
      </c>
      <c r="K21">
        <f>VLOOKUP(A21,Raw_Data!A19:I79,8,FALSE)</f>
        <v>6200</v>
      </c>
      <c r="O21" t="str">
        <f t="shared" si="2"/>
        <v>High</v>
      </c>
    </row>
    <row r="22" spans="1:15" x14ac:dyDescent="0.3">
      <c r="A22" s="3">
        <v>1020</v>
      </c>
      <c r="B22" s="5">
        <v>45870</v>
      </c>
      <c r="C22" s="2" t="s">
        <v>29</v>
      </c>
      <c r="D22" s="2" t="s">
        <v>16</v>
      </c>
      <c r="E22" s="2" t="s">
        <v>18</v>
      </c>
      <c r="F22" s="2" t="s">
        <v>10</v>
      </c>
      <c r="G22" s="3">
        <v>4000</v>
      </c>
      <c r="H22" s="3">
        <v>700</v>
      </c>
      <c r="I22" t="str">
        <f t="shared" si="0"/>
        <v>Aug-2025</v>
      </c>
      <c r="J22" t="str">
        <f t="shared" si="3"/>
        <v>Aug</v>
      </c>
      <c r="K22">
        <f>VLOOKUP(A22,Raw_Data!A20:I80,8,FALSE)</f>
        <v>700</v>
      </c>
      <c r="O22" t="str">
        <f t="shared" si="2"/>
        <v>low</v>
      </c>
    </row>
    <row r="23" spans="1:15" x14ac:dyDescent="0.3">
      <c r="A23" s="3">
        <v>1021</v>
      </c>
      <c r="B23" s="5">
        <v>45901</v>
      </c>
      <c r="C23" s="2" t="s">
        <v>19</v>
      </c>
      <c r="D23" s="2" t="s">
        <v>8</v>
      </c>
      <c r="E23" s="2" t="s">
        <v>9</v>
      </c>
      <c r="F23" s="2" t="s">
        <v>10</v>
      </c>
      <c r="G23" s="3">
        <v>53000</v>
      </c>
      <c r="H23" s="3">
        <v>8300</v>
      </c>
      <c r="I23" t="str">
        <f t="shared" si="0"/>
        <v>Sep-2025</v>
      </c>
      <c r="J23" t="str">
        <f t="shared" si="3"/>
        <v>Sep</v>
      </c>
      <c r="K23">
        <f>VLOOKUP(A23,Raw_Data!A21:I81,8,FALSE)</f>
        <v>8300</v>
      </c>
      <c r="O23" t="str">
        <f t="shared" si="2"/>
        <v>High</v>
      </c>
    </row>
    <row r="24" spans="1:15" x14ac:dyDescent="0.3">
      <c r="A24" s="3">
        <v>1022</v>
      </c>
      <c r="B24" s="5">
        <v>45931</v>
      </c>
      <c r="C24" s="2" t="s">
        <v>20</v>
      </c>
      <c r="D24" s="2" t="s">
        <v>11</v>
      </c>
      <c r="E24" s="2" t="s">
        <v>12</v>
      </c>
      <c r="F24" s="2" t="s">
        <v>10</v>
      </c>
      <c r="G24" s="3">
        <v>24000</v>
      </c>
      <c r="H24" s="3">
        <v>3500</v>
      </c>
      <c r="I24" t="str">
        <f t="shared" si="0"/>
        <v>Oct-2025</v>
      </c>
      <c r="J24" t="str">
        <f t="shared" si="3"/>
        <v>Oct</v>
      </c>
      <c r="K24">
        <f>VLOOKUP(A24,Raw_Data!A22:I82,8,FALSE)</f>
        <v>3500</v>
      </c>
      <c r="O24" t="str">
        <f t="shared" si="2"/>
        <v>High</v>
      </c>
    </row>
    <row r="25" spans="1:15" x14ac:dyDescent="0.3">
      <c r="A25" s="3">
        <v>1023</v>
      </c>
      <c r="B25" s="5">
        <v>45962</v>
      </c>
      <c r="C25" s="2" t="s">
        <v>21</v>
      </c>
      <c r="D25" s="2" t="s">
        <v>13</v>
      </c>
      <c r="E25" s="2" t="s">
        <v>14</v>
      </c>
      <c r="F25" s="2" t="s">
        <v>15</v>
      </c>
      <c r="G25" s="3">
        <v>7500</v>
      </c>
      <c r="H25" s="3">
        <v>1600</v>
      </c>
      <c r="I25" t="str">
        <f t="shared" si="0"/>
        <v>Nov-2025</v>
      </c>
      <c r="J25" t="str">
        <f t="shared" si="3"/>
        <v>Nov</v>
      </c>
      <c r="K25">
        <f>VLOOKUP(A25,Raw_Data!A23:I83,8,FALSE)</f>
        <v>1600</v>
      </c>
      <c r="O25" t="str">
        <f t="shared" si="2"/>
        <v>low</v>
      </c>
    </row>
    <row r="26" spans="1:15" x14ac:dyDescent="0.3">
      <c r="A26" s="3">
        <v>1024</v>
      </c>
      <c r="B26" s="5">
        <v>45992</v>
      </c>
      <c r="C26" s="2" t="s">
        <v>22</v>
      </c>
      <c r="D26" s="2" t="s">
        <v>16</v>
      </c>
      <c r="E26" s="2" t="s">
        <v>17</v>
      </c>
      <c r="F26" s="2" t="s">
        <v>15</v>
      </c>
      <c r="G26" s="3">
        <v>15000</v>
      </c>
      <c r="H26" s="3">
        <v>3000</v>
      </c>
      <c r="I26" t="str">
        <f t="shared" si="0"/>
        <v>Dec-2025</v>
      </c>
      <c r="J26" t="str">
        <f t="shared" si="3"/>
        <v>Dec</v>
      </c>
      <c r="K26">
        <f>VLOOKUP(A26,Raw_Data!A24:I84,8,FALSE)</f>
        <v>3000</v>
      </c>
      <c r="O26" t="str">
        <f t="shared" si="2"/>
        <v>High</v>
      </c>
    </row>
    <row r="27" spans="1:15" x14ac:dyDescent="0.3">
      <c r="A27" s="3">
        <v>1025</v>
      </c>
      <c r="B27" s="5">
        <v>44927</v>
      </c>
      <c r="C27" s="2" t="s">
        <v>23</v>
      </c>
      <c r="D27" s="2" t="s">
        <v>8</v>
      </c>
      <c r="E27" s="2" t="s">
        <v>18</v>
      </c>
      <c r="F27" s="2" t="s">
        <v>10</v>
      </c>
      <c r="G27" s="3">
        <v>4500</v>
      </c>
      <c r="H27" s="3">
        <v>800</v>
      </c>
      <c r="I27" t="str">
        <f t="shared" si="0"/>
        <v>Jan-2023</v>
      </c>
      <c r="J27" t="str">
        <f t="shared" si="3"/>
        <v>Jan</v>
      </c>
      <c r="K27">
        <f>VLOOKUP(A27,Raw_Data!A25:I85,8,FALSE)</f>
        <v>800</v>
      </c>
      <c r="O27" t="str">
        <f t="shared" si="2"/>
        <v>low</v>
      </c>
    </row>
    <row r="28" spans="1:15" x14ac:dyDescent="0.3">
      <c r="A28" s="3">
        <v>1026</v>
      </c>
      <c r="B28" s="5">
        <v>44958</v>
      </c>
      <c r="C28" s="2" t="s">
        <v>24</v>
      </c>
      <c r="D28" s="2" t="s">
        <v>11</v>
      </c>
      <c r="E28" s="2" t="s">
        <v>9</v>
      </c>
      <c r="F28" s="2" t="s">
        <v>10</v>
      </c>
      <c r="G28" s="3">
        <v>55000</v>
      </c>
      <c r="H28" s="3">
        <v>9000</v>
      </c>
      <c r="I28" t="str">
        <f t="shared" si="0"/>
        <v>Feb-2023</v>
      </c>
      <c r="J28" t="str">
        <f t="shared" si="3"/>
        <v>Feb</v>
      </c>
      <c r="K28">
        <f>VLOOKUP(A28,Raw_Data!A26:I86,8,FALSE)</f>
        <v>9000</v>
      </c>
      <c r="O28" t="str">
        <f t="shared" si="2"/>
        <v>High</v>
      </c>
    </row>
    <row r="29" spans="1:15" x14ac:dyDescent="0.3">
      <c r="A29" s="3">
        <v>1027</v>
      </c>
      <c r="B29" s="5">
        <v>44986</v>
      </c>
      <c r="C29" s="2" t="s">
        <v>25</v>
      </c>
      <c r="D29" s="2" t="s">
        <v>13</v>
      </c>
      <c r="E29" s="2" t="s">
        <v>26</v>
      </c>
      <c r="F29" s="2" t="s">
        <v>15</v>
      </c>
      <c r="G29" s="3">
        <v>28000</v>
      </c>
      <c r="H29" s="3">
        <v>6800</v>
      </c>
      <c r="I29" t="str">
        <f t="shared" si="0"/>
        <v>Mar-2023</v>
      </c>
      <c r="J29" t="str">
        <f t="shared" si="3"/>
        <v>Mar</v>
      </c>
      <c r="K29">
        <f>VLOOKUP(A29,Raw_Data!A27:I87,8,FALSE)</f>
        <v>6800</v>
      </c>
      <c r="O29" t="str">
        <f t="shared" si="2"/>
        <v>High</v>
      </c>
    </row>
    <row r="30" spans="1:15" x14ac:dyDescent="0.3">
      <c r="A30" s="3">
        <v>1028</v>
      </c>
      <c r="B30" s="5">
        <v>45017</v>
      </c>
      <c r="C30" s="2" t="s">
        <v>27</v>
      </c>
      <c r="D30" s="2" t="s">
        <v>16</v>
      </c>
      <c r="E30" s="2" t="s">
        <v>12</v>
      </c>
      <c r="F30" s="2" t="s">
        <v>10</v>
      </c>
      <c r="G30" s="3">
        <v>20000</v>
      </c>
      <c r="H30" s="3">
        <v>2900</v>
      </c>
      <c r="I30" t="str">
        <f t="shared" si="0"/>
        <v>Apr-2023</v>
      </c>
      <c r="J30" t="str">
        <f t="shared" si="3"/>
        <v>Apr</v>
      </c>
      <c r="K30">
        <f>VLOOKUP(A30,Raw_Data!A28:I88,8,FALSE)</f>
        <v>2900</v>
      </c>
      <c r="O30" t="str">
        <f t="shared" si="2"/>
        <v>High</v>
      </c>
    </row>
    <row r="31" spans="1:15" x14ac:dyDescent="0.3">
      <c r="A31" s="3">
        <v>1029</v>
      </c>
      <c r="B31" s="5">
        <v>45047</v>
      </c>
      <c r="C31" s="2" t="s">
        <v>28</v>
      </c>
      <c r="D31" s="2" t="s">
        <v>8</v>
      </c>
      <c r="E31" s="2" t="s">
        <v>17</v>
      </c>
      <c r="F31" s="2" t="s">
        <v>15</v>
      </c>
      <c r="G31" s="3">
        <v>16000</v>
      </c>
      <c r="H31" s="3">
        <v>3200</v>
      </c>
      <c r="I31" t="str">
        <f t="shared" si="0"/>
        <v>May-2023</v>
      </c>
      <c r="J31" t="str">
        <f t="shared" si="3"/>
        <v>May</v>
      </c>
      <c r="K31">
        <f>VLOOKUP(A31,Raw_Data!A29:I89,8,FALSE)</f>
        <v>3200</v>
      </c>
      <c r="O31" t="str">
        <f t="shared" si="2"/>
        <v>High</v>
      </c>
    </row>
    <row r="32" spans="1:15" x14ac:dyDescent="0.3">
      <c r="A32" s="3">
        <v>1030</v>
      </c>
      <c r="B32" s="5">
        <v>45078</v>
      </c>
      <c r="C32" s="2" t="s">
        <v>29</v>
      </c>
      <c r="D32" s="2" t="s">
        <v>11</v>
      </c>
      <c r="E32" s="2" t="s">
        <v>9</v>
      </c>
      <c r="F32" s="2" t="s">
        <v>10</v>
      </c>
      <c r="G32" s="3">
        <v>47000</v>
      </c>
      <c r="H32" s="3">
        <v>7200</v>
      </c>
      <c r="I32" t="str">
        <f t="shared" si="0"/>
        <v>Jun-2023</v>
      </c>
      <c r="J32" t="str">
        <f t="shared" si="3"/>
        <v>Jun</v>
      </c>
      <c r="K32">
        <f>VLOOKUP(A32,Raw_Data!A30:I90,8,FALSE)</f>
        <v>7200</v>
      </c>
      <c r="O32" t="str">
        <f t="shared" si="2"/>
        <v>High</v>
      </c>
    </row>
    <row r="33" spans="1:15" x14ac:dyDescent="0.3">
      <c r="A33" s="3">
        <v>1031</v>
      </c>
      <c r="B33" s="5">
        <v>45108</v>
      </c>
      <c r="C33" s="2" t="s">
        <v>19</v>
      </c>
      <c r="D33" s="2" t="s">
        <v>13</v>
      </c>
      <c r="E33" s="2" t="s">
        <v>14</v>
      </c>
      <c r="F33" s="2" t="s">
        <v>15</v>
      </c>
      <c r="G33" s="3">
        <v>8200</v>
      </c>
      <c r="H33" s="3">
        <v>1700</v>
      </c>
      <c r="I33" t="str">
        <f t="shared" si="0"/>
        <v>Jul-2023</v>
      </c>
      <c r="J33" t="str">
        <f t="shared" si="3"/>
        <v>Jul</v>
      </c>
      <c r="K33">
        <f>VLOOKUP(A33,Raw_Data!A31:I91,8,FALSE)</f>
        <v>1700</v>
      </c>
      <c r="O33" t="str">
        <f t="shared" si="2"/>
        <v>low</v>
      </c>
    </row>
    <row r="34" spans="1:15" x14ac:dyDescent="0.3">
      <c r="A34" s="3">
        <v>1032</v>
      </c>
      <c r="B34" s="5">
        <v>45139</v>
      </c>
      <c r="C34" s="2" t="s">
        <v>20</v>
      </c>
      <c r="D34" s="2" t="s">
        <v>16</v>
      </c>
      <c r="E34" s="2" t="s">
        <v>18</v>
      </c>
      <c r="F34" s="2" t="s">
        <v>10</v>
      </c>
      <c r="G34" s="3">
        <v>3800</v>
      </c>
      <c r="H34" s="3">
        <v>650</v>
      </c>
      <c r="I34" t="str">
        <f t="shared" si="0"/>
        <v>Aug-2023</v>
      </c>
      <c r="J34" t="str">
        <f t="shared" si="3"/>
        <v>Aug</v>
      </c>
      <c r="K34">
        <f>VLOOKUP(A34,Raw_Data!A32:I92,8,FALSE)</f>
        <v>650</v>
      </c>
      <c r="O34" t="str">
        <f t="shared" si="2"/>
        <v>low</v>
      </c>
    </row>
    <row r="35" spans="1:15" x14ac:dyDescent="0.3">
      <c r="A35" s="3">
        <v>1033</v>
      </c>
      <c r="B35" s="5">
        <v>45170</v>
      </c>
      <c r="C35" s="2" t="s">
        <v>21</v>
      </c>
      <c r="D35" s="2" t="s">
        <v>8</v>
      </c>
      <c r="E35" s="2" t="s">
        <v>26</v>
      </c>
      <c r="F35" s="2" t="s">
        <v>15</v>
      </c>
      <c r="G35" s="3">
        <v>29000</v>
      </c>
      <c r="H35" s="3">
        <v>7000</v>
      </c>
      <c r="I35" t="str">
        <f t="shared" si="0"/>
        <v>Sep-2023</v>
      </c>
      <c r="J35" t="str">
        <f t="shared" si="3"/>
        <v>Sep</v>
      </c>
      <c r="K35">
        <f>VLOOKUP(A35,Raw_Data!A33:I93,8,FALSE)</f>
        <v>7000</v>
      </c>
      <c r="O35" t="str">
        <f t="shared" si="2"/>
        <v>High</v>
      </c>
    </row>
    <row r="36" spans="1:15" x14ac:dyDescent="0.3">
      <c r="A36" s="3">
        <v>1034</v>
      </c>
      <c r="B36" s="5">
        <v>45200</v>
      </c>
      <c r="C36" s="2" t="s">
        <v>22</v>
      </c>
      <c r="D36" s="2" t="s">
        <v>11</v>
      </c>
      <c r="E36" s="2" t="s">
        <v>12</v>
      </c>
      <c r="F36" s="2" t="s">
        <v>10</v>
      </c>
      <c r="G36" s="3">
        <v>26000</v>
      </c>
      <c r="H36" s="3">
        <v>4000</v>
      </c>
      <c r="I36" t="str">
        <f t="shared" si="0"/>
        <v>Oct-2023</v>
      </c>
      <c r="J36" t="str">
        <f t="shared" si="3"/>
        <v>Oct</v>
      </c>
      <c r="K36">
        <f>VLOOKUP(A36,Raw_Data!A34:I94,8,FALSE)</f>
        <v>4000</v>
      </c>
      <c r="O36" t="str">
        <f t="shared" si="2"/>
        <v>High</v>
      </c>
    </row>
    <row r="37" spans="1:15" x14ac:dyDescent="0.3">
      <c r="A37" s="3">
        <v>1035</v>
      </c>
      <c r="B37" s="5">
        <v>45231</v>
      </c>
      <c r="C37" s="2" t="s">
        <v>23</v>
      </c>
      <c r="D37" s="2" t="s">
        <v>13</v>
      </c>
      <c r="E37" s="2" t="s">
        <v>17</v>
      </c>
      <c r="F37" s="2" t="s">
        <v>15</v>
      </c>
      <c r="G37" s="3">
        <v>17000</v>
      </c>
      <c r="H37" s="3">
        <v>3400</v>
      </c>
      <c r="I37" t="str">
        <f t="shared" si="0"/>
        <v>Nov-2023</v>
      </c>
      <c r="J37" t="str">
        <f t="shared" si="3"/>
        <v>Nov</v>
      </c>
      <c r="K37">
        <f>VLOOKUP(A37,Raw_Data!A35:I95,8,FALSE)</f>
        <v>3400</v>
      </c>
      <c r="O37" t="str">
        <f t="shared" si="2"/>
        <v>High</v>
      </c>
    </row>
    <row r="38" spans="1:15" x14ac:dyDescent="0.3">
      <c r="A38" s="3">
        <v>1036</v>
      </c>
      <c r="B38" s="5">
        <v>45261</v>
      </c>
      <c r="C38" s="2" t="s">
        <v>24</v>
      </c>
      <c r="D38" s="2" t="s">
        <v>16</v>
      </c>
      <c r="E38" s="2" t="s">
        <v>9</v>
      </c>
      <c r="F38" s="2" t="s">
        <v>10</v>
      </c>
      <c r="G38" s="3">
        <v>60000</v>
      </c>
      <c r="H38" s="3">
        <v>10000</v>
      </c>
      <c r="I38" t="str">
        <f t="shared" si="0"/>
        <v>Dec-2023</v>
      </c>
      <c r="J38" t="str">
        <f t="shared" si="3"/>
        <v>Dec</v>
      </c>
      <c r="K38">
        <f>VLOOKUP(A38,Raw_Data!A36:I96,8,FALSE)</f>
        <v>10000</v>
      </c>
      <c r="O38" t="str">
        <f t="shared" si="2"/>
        <v>High</v>
      </c>
    </row>
    <row r="39" spans="1:15" x14ac:dyDescent="0.3">
      <c r="A39" s="3">
        <v>1037</v>
      </c>
      <c r="B39" s="5">
        <v>44562</v>
      </c>
      <c r="C39" s="2" t="s">
        <v>25</v>
      </c>
      <c r="D39" s="2" t="s">
        <v>8</v>
      </c>
      <c r="E39" s="2" t="s">
        <v>14</v>
      </c>
      <c r="F39" s="2" t="s">
        <v>15</v>
      </c>
      <c r="G39" s="3">
        <v>9500</v>
      </c>
      <c r="H39" s="3">
        <v>2000</v>
      </c>
      <c r="I39" t="str">
        <f t="shared" si="0"/>
        <v>Jan-2022</v>
      </c>
      <c r="J39" t="str">
        <f t="shared" si="3"/>
        <v>Jan</v>
      </c>
      <c r="K39">
        <f>VLOOKUP(A39,Raw_Data!A37:I97,8,FALSE)</f>
        <v>2000</v>
      </c>
      <c r="O39" t="str">
        <f t="shared" si="2"/>
        <v>low</v>
      </c>
    </row>
    <row r="40" spans="1:15" x14ac:dyDescent="0.3">
      <c r="A40" s="3">
        <v>1038</v>
      </c>
      <c r="B40" s="5">
        <v>44593</v>
      </c>
      <c r="C40" s="2" t="s">
        <v>27</v>
      </c>
      <c r="D40" s="2" t="s">
        <v>11</v>
      </c>
      <c r="E40" s="2" t="s">
        <v>12</v>
      </c>
      <c r="F40" s="2" t="s">
        <v>10</v>
      </c>
      <c r="G40" s="3">
        <v>23000</v>
      </c>
      <c r="H40" s="3">
        <v>3300</v>
      </c>
      <c r="I40" t="str">
        <f t="shared" si="0"/>
        <v>Feb-2022</v>
      </c>
      <c r="J40" t="str">
        <f t="shared" si="3"/>
        <v>Feb</v>
      </c>
      <c r="K40">
        <f>VLOOKUP(A40,Raw_Data!A38:I98,8,FALSE)</f>
        <v>3300</v>
      </c>
      <c r="O40" t="str">
        <f t="shared" si="2"/>
        <v>High</v>
      </c>
    </row>
    <row r="41" spans="1:15" x14ac:dyDescent="0.3">
      <c r="A41" s="3">
        <v>1039</v>
      </c>
      <c r="B41" s="5">
        <v>44621</v>
      </c>
      <c r="C41" s="2" t="s">
        <v>28</v>
      </c>
      <c r="D41" s="2" t="s">
        <v>13</v>
      </c>
      <c r="E41" s="2" t="s">
        <v>26</v>
      </c>
      <c r="F41" s="2" t="s">
        <v>15</v>
      </c>
      <c r="G41" s="3">
        <v>30000</v>
      </c>
      <c r="H41" s="3">
        <v>7500</v>
      </c>
      <c r="I41" t="str">
        <f t="shared" si="0"/>
        <v>Mar-2022</v>
      </c>
      <c r="J41" t="str">
        <f t="shared" si="3"/>
        <v>Mar</v>
      </c>
      <c r="K41">
        <f>VLOOKUP(A41,Raw_Data!A39:I99,8,FALSE)</f>
        <v>7500</v>
      </c>
      <c r="O41" t="str">
        <f t="shared" si="2"/>
        <v>High</v>
      </c>
    </row>
    <row r="42" spans="1:15" x14ac:dyDescent="0.3">
      <c r="A42" s="3">
        <v>1040</v>
      </c>
      <c r="B42" s="5">
        <v>44652</v>
      </c>
      <c r="C42" s="2" t="s">
        <v>29</v>
      </c>
      <c r="D42" s="2" t="s">
        <v>16</v>
      </c>
      <c r="E42" s="2" t="s">
        <v>18</v>
      </c>
      <c r="F42" s="2" t="s">
        <v>10</v>
      </c>
      <c r="G42" s="3">
        <v>5000</v>
      </c>
      <c r="H42" s="3">
        <v>900</v>
      </c>
      <c r="I42" t="str">
        <f t="shared" si="0"/>
        <v>Apr-2022</v>
      </c>
      <c r="J42" t="str">
        <f t="shared" si="3"/>
        <v>Apr</v>
      </c>
      <c r="K42">
        <f>VLOOKUP(A42,Raw_Data!A40:I100,8,FALSE)</f>
        <v>900</v>
      </c>
      <c r="O42" t="str">
        <f t="shared" si="2"/>
        <v>low</v>
      </c>
    </row>
    <row r="43" spans="1:15" x14ac:dyDescent="0.3">
      <c r="A43" s="3">
        <v>1041</v>
      </c>
      <c r="B43" s="5">
        <v>44682</v>
      </c>
      <c r="C43" s="2" t="s">
        <v>19</v>
      </c>
      <c r="D43" s="2" t="s">
        <v>8</v>
      </c>
      <c r="E43" s="2" t="s">
        <v>9</v>
      </c>
      <c r="F43" s="2" t="s">
        <v>10</v>
      </c>
      <c r="G43" s="3">
        <v>54000</v>
      </c>
      <c r="H43" s="3">
        <v>8500</v>
      </c>
      <c r="I43" t="str">
        <f t="shared" si="0"/>
        <v>May-2022</v>
      </c>
      <c r="J43" t="str">
        <f t="shared" si="3"/>
        <v>May</v>
      </c>
      <c r="K43">
        <f>VLOOKUP(A43,Raw_Data!A41:I101,8,FALSE)</f>
        <v>8500</v>
      </c>
      <c r="O43" t="str">
        <f t="shared" si="2"/>
        <v>High</v>
      </c>
    </row>
    <row r="44" spans="1:15" x14ac:dyDescent="0.3">
      <c r="A44" s="3">
        <v>1042</v>
      </c>
      <c r="B44" s="5">
        <v>44713</v>
      </c>
      <c r="C44" s="2" t="s">
        <v>20</v>
      </c>
      <c r="D44" s="2" t="s">
        <v>11</v>
      </c>
      <c r="E44" s="2" t="s">
        <v>12</v>
      </c>
      <c r="F44" s="2" t="s">
        <v>10</v>
      </c>
      <c r="G44" s="3">
        <v>25000</v>
      </c>
      <c r="H44" s="3">
        <v>3600</v>
      </c>
      <c r="I44" t="str">
        <f t="shared" si="0"/>
        <v>Jun-2022</v>
      </c>
      <c r="J44" t="str">
        <f t="shared" si="3"/>
        <v>Jun</v>
      </c>
      <c r="K44">
        <f>VLOOKUP(A44,Raw_Data!A42:I102,8,FALSE)</f>
        <v>3600</v>
      </c>
      <c r="O44" t="str">
        <f t="shared" si="2"/>
        <v>High</v>
      </c>
    </row>
    <row r="45" spans="1:15" x14ac:dyDescent="0.3">
      <c r="A45" s="3">
        <v>1043</v>
      </c>
      <c r="B45" s="5">
        <v>44743</v>
      </c>
      <c r="C45" s="2" t="s">
        <v>21</v>
      </c>
      <c r="D45" s="2" t="s">
        <v>13</v>
      </c>
      <c r="E45" s="2" t="s">
        <v>14</v>
      </c>
      <c r="F45" s="2" t="s">
        <v>15</v>
      </c>
      <c r="G45" s="3">
        <v>7800</v>
      </c>
      <c r="H45" s="3">
        <v>1650</v>
      </c>
      <c r="I45" t="str">
        <f t="shared" si="0"/>
        <v>Jul-2022</v>
      </c>
      <c r="J45" t="str">
        <f t="shared" si="3"/>
        <v>Jul</v>
      </c>
      <c r="K45">
        <f>VLOOKUP(A45,Raw_Data!A43:I103,8,FALSE)</f>
        <v>1650</v>
      </c>
      <c r="O45" t="str">
        <f t="shared" si="2"/>
        <v>low</v>
      </c>
    </row>
    <row r="46" spans="1:15" x14ac:dyDescent="0.3">
      <c r="A46" s="3">
        <v>1044</v>
      </c>
      <c r="B46" s="5">
        <v>44774</v>
      </c>
      <c r="C46" s="2" t="s">
        <v>22</v>
      </c>
      <c r="D46" s="2" t="s">
        <v>16</v>
      </c>
      <c r="E46" s="2" t="s">
        <v>17</v>
      </c>
      <c r="F46" s="2" t="s">
        <v>15</v>
      </c>
      <c r="G46" s="3">
        <v>15500</v>
      </c>
      <c r="H46" s="3">
        <v>3100</v>
      </c>
      <c r="I46" t="str">
        <f t="shared" si="0"/>
        <v>Aug-2022</v>
      </c>
      <c r="J46" t="str">
        <f t="shared" si="3"/>
        <v>Aug</v>
      </c>
      <c r="K46">
        <f>VLOOKUP(A46,Raw_Data!A44:I104,8,FALSE)</f>
        <v>3100</v>
      </c>
      <c r="O46" t="str">
        <f t="shared" si="2"/>
        <v>High</v>
      </c>
    </row>
    <row r="47" spans="1:15" x14ac:dyDescent="0.3">
      <c r="A47" s="3">
        <v>1045</v>
      </c>
      <c r="B47" s="5">
        <v>44805</v>
      </c>
      <c r="C47" s="2" t="s">
        <v>23</v>
      </c>
      <c r="D47" s="2" t="s">
        <v>8</v>
      </c>
      <c r="E47" s="2" t="s">
        <v>18</v>
      </c>
      <c r="F47" s="2" t="s">
        <v>10</v>
      </c>
      <c r="G47" s="3">
        <v>4800</v>
      </c>
      <c r="H47" s="3">
        <v>850</v>
      </c>
      <c r="I47" t="str">
        <f t="shared" si="0"/>
        <v>Sep-2022</v>
      </c>
      <c r="J47" t="str">
        <f t="shared" si="3"/>
        <v>Sep</v>
      </c>
      <c r="K47">
        <f>VLOOKUP(A47,Raw_Data!A45:I105,8,FALSE)</f>
        <v>850</v>
      </c>
      <c r="O47" t="str">
        <f t="shared" si="2"/>
        <v>low</v>
      </c>
    </row>
    <row r="48" spans="1:15" x14ac:dyDescent="0.3">
      <c r="A48" s="3">
        <v>1046</v>
      </c>
      <c r="B48" s="5">
        <v>44835</v>
      </c>
      <c r="C48" s="2" t="s">
        <v>24</v>
      </c>
      <c r="D48" s="2" t="s">
        <v>11</v>
      </c>
      <c r="E48" s="2" t="s">
        <v>9</v>
      </c>
      <c r="F48" s="2" t="s">
        <v>10</v>
      </c>
      <c r="G48" s="3">
        <v>56000</v>
      </c>
      <c r="H48" s="3">
        <v>9200</v>
      </c>
      <c r="I48" t="str">
        <f t="shared" si="0"/>
        <v>Oct-2022</v>
      </c>
      <c r="J48" t="str">
        <f t="shared" si="3"/>
        <v>Oct</v>
      </c>
      <c r="K48">
        <f>VLOOKUP(A48,Raw_Data!A46:I106,8,FALSE)</f>
        <v>9200</v>
      </c>
      <c r="O48" t="str">
        <f t="shared" si="2"/>
        <v>High</v>
      </c>
    </row>
    <row r="49" spans="1:15" x14ac:dyDescent="0.3">
      <c r="A49" s="3">
        <v>1047</v>
      </c>
      <c r="B49" s="5">
        <v>44866</v>
      </c>
      <c r="C49" s="2" t="s">
        <v>25</v>
      </c>
      <c r="D49" s="2" t="s">
        <v>13</v>
      </c>
      <c r="E49" s="2" t="s">
        <v>26</v>
      </c>
      <c r="F49" s="2" t="s">
        <v>15</v>
      </c>
      <c r="G49" s="3">
        <v>28500</v>
      </c>
      <c r="H49" s="3">
        <v>6900</v>
      </c>
      <c r="I49" t="str">
        <f t="shared" si="0"/>
        <v>Nov-2022</v>
      </c>
      <c r="J49" t="str">
        <f t="shared" si="3"/>
        <v>Nov</v>
      </c>
      <c r="K49">
        <f>VLOOKUP(A49,Raw_Data!A47:I107,8,FALSE)</f>
        <v>6900</v>
      </c>
      <c r="O49" t="str">
        <f t="shared" si="2"/>
        <v>High</v>
      </c>
    </row>
    <row r="50" spans="1:15" x14ac:dyDescent="0.3">
      <c r="A50" s="3">
        <v>1048</v>
      </c>
      <c r="B50" s="5">
        <v>44896</v>
      </c>
      <c r="C50" s="2" t="s">
        <v>27</v>
      </c>
      <c r="D50" s="2" t="s">
        <v>16</v>
      </c>
      <c r="E50" s="2" t="s">
        <v>12</v>
      </c>
      <c r="F50" s="2" t="s">
        <v>10</v>
      </c>
      <c r="G50" s="3">
        <v>21000</v>
      </c>
      <c r="H50" s="3">
        <v>3000</v>
      </c>
      <c r="I50" t="str">
        <f t="shared" si="0"/>
        <v>Dec-2022</v>
      </c>
      <c r="J50" t="str">
        <f t="shared" si="3"/>
        <v>Dec</v>
      </c>
      <c r="K50">
        <f>VLOOKUP(A50,Raw_Data!A48:I108,8,FALSE)</f>
        <v>3000</v>
      </c>
      <c r="O50" t="str">
        <f t="shared" si="2"/>
        <v>High</v>
      </c>
    </row>
    <row r="51" spans="1:15" x14ac:dyDescent="0.3">
      <c r="A51" s="3">
        <v>1049</v>
      </c>
      <c r="B51" s="5">
        <v>44197</v>
      </c>
      <c r="C51" s="2" t="s">
        <v>28</v>
      </c>
      <c r="D51" s="2" t="s">
        <v>8</v>
      </c>
      <c r="E51" s="2" t="s">
        <v>17</v>
      </c>
      <c r="F51" s="2" t="s">
        <v>15</v>
      </c>
      <c r="G51" s="3">
        <v>16500</v>
      </c>
      <c r="H51" s="3">
        <v>3300</v>
      </c>
      <c r="I51" t="str">
        <f t="shared" si="0"/>
        <v>Jan-2021</v>
      </c>
      <c r="J51" t="str">
        <f t="shared" si="3"/>
        <v>Jan</v>
      </c>
      <c r="K51">
        <f>VLOOKUP(A51,Raw_Data!A49:I109,8,FALSE)</f>
        <v>3300</v>
      </c>
      <c r="O51" t="str">
        <f t="shared" si="2"/>
        <v>High</v>
      </c>
    </row>
    <row r="52" spans="1:15" x14ac:dyDescent="0.3">
      <c r="A52" s="3">
        <v>1050</v>
      </c>
      <c r="B52" s="5">
        <v>44228</v>
      </c>
      <c r="C52" s="2" t="s">
        <v>29</v>
      </c>
      <c r="D52" s="2" t="s">
        <v>11</v>
      </c>
      <c r="E52" s="2" t="s">
        <v>9</v>
      </c>
      <c r="F52" s="2" t="s">
        <v>10</v>
      </c>
      <c r="G52" s="3">
        <v>49000</v>
      </c>
      <c r="H52" s="3">
        <v>7600</v>
      </c>
      <c r="I52" t="str">
        <f t="shared" si="0"/>
        <v>Feb-2021</v>
      </c>
      <c r="J52" t="str">
        <f t="shared" si="3"/>
        <v>Feb</v>
      </c>
      <c r="K52">
        <f>VLOOKUP(A52,Raw_Data!A50:I110,8,FALSE)</f>
        <v>7600</v>
      </c>
      <c r="O52" t="str">
        <f t="shared" si="2"/>
        <v>High</v>
      </c>
    </row>
    <row r="53" spans="1:15" x14ac:dyDescent="0.3">
      <c r="A53" s="3">
        <v>1051</v>
      </c>
      <c r="B53" s="5">
        <v>44256</v>
      </c>
      <c r="C53" s="2" t="s">
        <v>19</v>
      </c>
      <c r="D53" s="2" t="s">
        <v>13</v>
      </c>
      <c r="E53" s="2" t="s">
        <v>14</v>
      </c>
      <c r="F53" s="2" t="s">
        <v>15</v>
      </c>
      <c r="G53" s="3">
        <v>8300</v>
      </c>
      <c r="H53" s="3">
        <v>1750</v>
      </c>
      <c r="I53" t="str">
        <f t="shared" si="0"/>
        <v>Mar-2021</v>
      </c>
      <c r="J53" t="str">
        <f t="shared" si="3"/>
        <v>Mar</v>
      </c>
      <c r="K53">
        <f>VLOOKUP(A53,Raw_Data!A51:I111,8,FALSE)</f>
        <v>1750</v>
      </c>
      <c r="O53" t="str">
        <f t="shared" si="2"/>
        <v>low</v>
      </c>
    </row>
    <row r="54" spans="1:15" x14ac:dyDescent="0.3">
      <c r="A54" s="3">
        <v>1052</v>
      </c>
      <c r="B54" s="5">
        <v>44287</v>
      </c>
      <c r="C54" s="2" t="s">
        <v>20</v>
      </c>
      <c r="D54" s="2" t="s">
        <v>16</v>
      </c>
      <c r="E54" s="2" t="s">
        <v>18</v>
      </c>
      <c r="F54" s="2" t="s">
        <v>10</v>
      </c>
      <c r="G54" s="3">
        <v>4000</v>
      </c>
      <c r="H54" s="3">
        <v>700</v>
      </c>
      <c r="I54" t="str">
        <f t="shared" si="0"/>
        <v>Apr-2021</v>
      </c>
      <c r="J54" t="str">
        <f t="shared" si="3"/>
        <v>Apr</v>
      </c>
      <c r="K54">
        <f>VLOOKUP(A54,Raw_Data!A52:I112,8,FALSE)</f>
        <v>700</v>
      </c>
      <c r="O54" t="str">
        <f t="shared" si="2"/>
        <v>low</v>
      </c>
    </row>
    <row r="55" spans="1:15" x14ac:dyDescent="0.3">
      <c r="A55" s="3">
        <v>1053</v>
      </c>
      <c r="B55" s="5">
        <v>44317</v>
      </c>
      <c r="C55" s="2" t="s">
        <v>21</v>
      </c>
      <c r="D55" s="2" t="s">
        <v>8</v>
      </c>
      <c r="E55" s="2" t="s">
        <v>26</v>
      </c>
      <c r="F55" s="2" t="s">
        <v>15</v>
      </c>
      <c r="G55" s="3">
        <v>30000</v>
      </c>
      <c r="H55" s="3">
        <v>7200</v>
      </c>
      <c r="I55" t="str">
        <f t="shared" si="0"/>
        <v>May-2021</v>
      </c>
      <c r="J55" t="str">
        <f t="shared" si="3"/>
        <v>May</v>
      </c>
      <c r="K55">
        <f>VLOOKUP(A55,Raw_Data!A53:I113,8,FALSE)</f>
        <v>7200</v>
      </c>
      <c r="O55" t="str">
        <f t="shared" si="2"/>
        <v>High</v>
      </c>
    </row>
    <row r="56" spans="1:15" x14ac:dyDescent="0.3">
      <c r="A56" s="3">
        <v>1054</v>
      </c>
      <c r="B56" s="5">
        <v>44348</v>
      </c>
      <c r="C56" s="2" t="s">
        <v>22</v>
      </c>
      <c r="D56" s="2" t="s">
        <v>11</v>
      </c>
      <c r="E56" s="2" t="s">
        <v>12</v>
      </c>
      <c r="F56" s="2" t="s">
        <v>10</v>
      </c>
      <c r="G56" s="3">
        <v>27000</v>
      </c>
      <c r="H56" s="3">
        <v>4100</v>
      </c>
      <c r="I56" t="str">
        <f t="shared" si="0"/>
        <v>Jun-2021</v>
      </c>
      <c r="J56" t="str">
        <f t="shared" si="3"/>
        <v>Jun</v>
      </c>
      <c r="K56">
        <f>VLOOKUP(A56,Raw_Data!A54:I114,8,FALSE)</f>
        <v>4100</v>
      </c>
      <c r="O56" t="str">
        <f t="shared" si="2"/>
        <v>High</v>
      </c>
    </row>
    <row r="57" spans="1:15" x14ac:dyDescent="0.3">
      <c r="A57" s="3">
        <v>1055</v>
      </c>
      <c r="B57" s="5">
        <v>44378</v>
      </c>
      <c r="C57" s="2" t="s">
        <v>23</v>
      </c>
      <c r="D57" s="2" t="s">
        <v>13</v>
      </c>
      <c r="E57" s="2" t="s">
        <v>17</v>
      </c>
      <c r="F57" s="2" t="s">
        <v>15</v>
      </c>
      <c r="G57" s="3">
        <v>17500</v>
      </c>
      <c r="H57" s="3">
        <v>3500</v>
      </c>
      <c r="I57" t="str">
        <f t="shared" si="0"/>
        <v>Jul-2021</v>
      </c>
      <c r="J57" t="str">
        <f t="shared" si="3"/>
        <v>Jul</v>
      </c>
      <c r="K57">
        <f>VLOOKUP(A57,Raw_Data!A55:I115,8,FALSE)</f>
        <v>3500</v>
      </c>
      <c r="O57" t="str">
        <f t="shared" si="2"/>
        <v>High</v>
      </c>
    </row>
    <row r="58" spans="1:15" x14ac:dyDescent="0.3">
      <c r="A58" s="3">
        <v>1056</v>
      </c>
      <c r="B58" s="5">
        <v>44409</v>
      </c>
      <c r="C58" s="2" t="s">
        <v>24</v>
      </c>
      <c r="D58" s="2" t="s">
        <v>16</v>
      </c>
      <c r="E58" s="2" t="s">
        <v>9</v>
      </c>
      <c r="F58" s="2" t="s">
        <v>10</v>
      </c>
      <c r="G58" s="3">
        <v>61000</v>
      </c>
      <c r="H58" s="3">
        <v>10200</v>
      </c>
      <c r="I58" t="str">
        <f t="shared" si="0"/>
        <v>Aug-2021</v>
      </c>
      <c r="J58" t="str">
        <f t="shared" si="3"/>
        <v>Aug</v>
      </c>
      <c r="K58">
        <f>VLOOKUP(A58,Raw_Data!A56:I116,8,FALSE)</f>
        <v>10200</v>
      </c>
      <c r="O58" t="str">
        <f t="shared" si="2"/>
        <v>High</v>
      </c>
    </row>
    <row r="59" spans="1:15" x14ac:dyDescent="0.3">
      <c r="A59" s="3">
        <v>1057</v>
      </c>
      <c r="B59" s="5">
        <v>44440</v>
      </c>
      <c r="C59" s="2" t="s">
        <v>25</v>
      </c>
      <c r="D59" s="2" t="s">
        <v>8</v>
      </c>
      <c r="E59" s="2" t="s">
        <v>14</v>
      </c>
      <c r="F59" s="2" t="s">
        <v>15</v>
      </c>
      <c r="G59" s="3">
        <v>9800</v>
      </c>
      <c r="H59" s="3">
        <v>2100</v>
      </c>
      <c r="I59" t="str">
        <f t="shared" si="0"/>
        <v>Sep-2021</v>
      </c>
      <c r="J59" t="str">
        <f t="shared" si="3"/>
        <v>Sep</v>
      </c>
      <c r="K59">
        <f>VLOOKUP(A59,Raw_Data!A57:I117,8,FALSE)</f>
        <v>2100</v>
      </c>
      <c r="O59" t="str">
        <f t="shared" si="2"/>
        <v>low</v>
      </c>
    </row>
    <row r="60" spans="1:15" x14ac:dyDescent="0.3">
      <c r="A60" s="3">
        <v>1058</v>
      </c>
      <c r="B60" s="5">
        <v>44470</v>
      </c>
      <c r="C60" s="2" t="s">
        <v>27</v>
      </c>
      <c r="D60" s="2" t="s">
        <v>11</v>
      </c>
      <c r="E60" s="2" t="s">
        <v>12</v>
      </c>
      <c r="F60" s="2" t="s">
        <v>10</v>
      </c>
      <c r="G60" s="3">
        <v>24000</v>
      </c>
      <c r="H60" s="3">
        <v>3400</v>
      </c>
      <c r="I60" t="str">
        <f t="shared" si="0"/>
        <v>Oct-2021</v>
      </c>
      <c r="J60" t="str">
        <f t="shared" si="3"/>
        <v>Oct</v>
      </c>
      <c r="K60">
        <f>VLOOKUP(A60,Raw_Data!A58:I118,8,FALSE)</f>
        <v>3400</v>
      </c>
      <c r="O60" t="str">
        <f t="shared" si="2"/>
        <v>High</v>
      </c>
    </row>
    <row r="61" spans="1:15" x14ac:dyDescent="0.3">
      <c r="A61" s="3">
        <v>1059</v>
      </c>
      <c r="B61" s="5">
        <v>44501</v>
      </c>
      <c r="C61" s="2" t="s">
        <v>28</v>
      </c>
      <c r="D61" s="2" t="s">
        <v>13</v>
      </c>
      <c r="E61" s="2" t="s">
        <v>26</v>
      </c>
      <c r="F61" s="2" t="s">
        <v>15</v>
      </c>
      <c r="G61" s="3">
        <v>31000</v>
      </c>
      <c r="H61" s="3">
        <v>7700</v>
      </c>
      <c r="I61" t="str">
        <f t="shared" si="0"/>
        <v>Nov-2021</v>
      </c>
      <c r="J61" t="str">
        <f t="shared" si="3"/>
        <v>Nov</v>
      </c>
      <c r="K61">
        <f>VLOOKUP(A61,Raw_Data!A59:I119,8,FALSE)</f>
        <v>7700</v>
      </c>
      <c r="O61" t="str">
        <f t="shared" si="2"/>
        <v>High</v>
      </c>
    </row>
    <row r="62" spans="1:15" x14ac:dyDescent="0.3">
      <c r="A62" s="3">
        <v>1060</v>
      </c>
      <c r="B62" s="5">
        <v>44531</v>
      </c>
      <c r="C62" s="2" t="s">
        <v>29</v>
      </c>
      <c r="D62" s="2" t="s">
        <v>16</v>
      </c>
      <c r="E62" s="2" t="s">
        <v>18</v>
      </c>
      <c r="F62" s="2" t="s">
        <v>10</v>
      </c>
      <c r="G62" s="3">
        <v>5200</v>
      </c>
      <c r="H62" s="3">
        <v>950</v>
      </c>
      <c r="I62" t="str">
        <f t="shared" si="0"/>
        <v>Dec-2021</v>
      </c>
      <c r="J62" t="str">
        <f t="shared" si="3"/>
        <v>Dec</v>
      </c>
      <c r="K62">
        <f>VLOOKUP(A62,Raw_Data!A60:I120,8,FALSE)</f>
        <v>950</v>
      </c>
      <c r="O62" t="str">
        <f t="shared" si="2"/>
        <v>low</v>
      </c>
    </row>
  </sheetData>
  <conditionalFormatting sqref="G1:G1048576">
    <cfRule type="colorScale" priority="1">
      <colorScale>
        <cfvo type="min"/>
        <cfvo type="max"/>
        <color rgb="FF63BE7B"/>
        <color rgb="FFFFEF9C"/>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E8B70-4593-433E-97A8-AA4B2A7EE798}">
  <dimension ref="A1:Y62"/>
  <sheetViews>
    <sheetView topLeftCell="L1" workbookViewId="0">
      <selection activeCell="W12" sqref="W12"/>
    </sheetView>
  </sheetViews>
  <sheetFormatPr defaultRowHeight="14.4" x14ac:dyDescent="0.3"/>
  <cols>
    <col min="12" max="12" width="12.44140625" bestFit="1" customWidth="1"/>
    <col min="13" max="13" width="11.5546875" bestFit="1" customWidth="1"/>
    <col min="16" max="16" width="12.44140625" bestFit="1" customWidth="1"/>
    <col min="17" max="17" width="11.5546875" bestFit="1" customWidth="1"/>
    <col min="18" max="18" width="8.5546875" bestFit="1" customWidth="1"/>
    <col min="19" max="19" width="10.5546875" bestFit="1" customWidth="1"/>
    <col min="20" max="20" width="12.44140625" bestFit="1" customWidth="1"/>
    <col min="21" max="21" width="11.5546875" bestFit="1" customWidth="1"/>
    <col min="24" max="24" width="12.44140625" bestFit="1" customWidth="1"/>
    <col min="25" max="25" width="11.5546875" bestFit="1" customWidth="1"/>
  </cols>
  <sheetData>
    <row r="1" spans="1:25" x14ac:dyDescent="0.3">
      <c r="L1" s="10" t="s">
        <v>56</v>
      </c>
      <c r="M1" s="10"/>
      <c r="P1" s="10" t="s">
        <v>57</v>
      </c>
      <c r="Q1" s="10"/>
      <c r="T1" s="10" t="s">
        <v>58</v>
      </c>
      <c r="U1" s="10"/>
      <c r="X1" s="10" t="s">
        <v>59</v>
      </c>
      <c r="Y1" s="10"/>
    </row>
    <row r="2" spans="1:25" x14ac:dyDescent="0.3">
      <c r="A2" s="1" t="s">
        <v>0</v>
      </c>
      <c r="B2" s="4" t="s">
        <v>1</v>
      </c>
      <c r="C2" s="1" t="s">
        <v>2</v>
      </c>
      <c r="D2" s="1" t="s">
        <v>3</v>
      </c>
      <c r="E2" s="1" t="s">
        <v>4</v>
      </c>
      <c r="F2" s="1" t="s">
        <v>5</v>
      </c>
      <c r="G2" s="1" t="s">
        <v>6</v>
      </c>
      <c r="H2" s="1" t="s">
        <v>7</v>
      </c>
      <c r="I2" s="1" t="s">
        <v>30</v>
      </c>
      <c r="J2" s="1" t="s">
        <v>31</v>
      </c>
      <c r="L2" s="7" t="s">
        <v>32</v>
      </c>
      <c r="M2" t="s">
        <v>34</v>
      </c>
      <c r="P2" s="7" t="s">
        <v>32</v>
      </c>
      <c r="Q2" t="s">
        <v>34</v>
      </c>
      <c r="T2" s="7" t="s">
        <v>32</v>
      </c>
      <c r="U2" t="s">
        <v>34</v>
      </c>
      <c r="X2" s="7" t="s">
        <v>32</v>
      </c>
      <c r="Y2" t="s">
        <v>35</v>
      </c>
    </row>
    <row r="3" spans="1:25" x14ac:dyDescent="0.3">
      <c r="A3" s="3">
        <v>1001</v>
      </c>
      <c r="B3" s="5">
        <v>45292</v>
      </c>
      <c r="C3" s="2" t="s">
        <v>19</v>
      </c>
      <c r="D3" s="2" t="s">
        <v>8</v>
      </c>
      <c r="E3" s="2" t="s">
        <v>9</v>
      </c>
      <c r="F3" s="2" t="s">
        <v>10</v>
      </c>
      <c r="G3" s="3">
        <v>50000</v>
      </c>
      <c r="H3" s="3">
        <v>8000</v>
      </c>
      <c r="I3" t="str">
        <f>TEXT(B3,"mmm-yyyy")</f>
        <v>Jan-2024</v>
      </c>
      <c r="J3" t="str">
        <f>TEXT(B3,"mmm")</f>
        <v>Jan</v>
      </c>
      <c r="L3" s="8" t="s">
        <v>16</v>
      </c>
      <c r="M3" s="9">
        <v>42500</v>
      </c>
      <c r="P3" s="8" t="s">
        <v>15</v>
      </c>
      <c r="Q3" s="9">
        <v>42500</v>
      </c>
      <c r="T3" s="8" t="s">
        <v>40</v>
      </c>
      <c r="U3" s="9">
        <v>12000</v>
      </c>
      <c r="X3" s="8" t="s">
        <v>17</v>
      </c>
      <c r="Y3" s="9">
        <v>8600</v>
      </c>
    </row>
    <row r="4" spans="1:25" x14ac:dyDescent="0.3">
      <c r="A4" s="3">
        <v>1002</v>
      </c>
      <c r="B4" s="5">
        <v>45323</v>
      </c>
      <c r="C4" s="2" t="s">
        <v>20</v>
      </c>
      <c r="D4" s="2" t="s">
        <v>11</v>
      </c>
      <c r="E4" s="2" t="s">
        <v>12</v>
      </c>
      <c r="F4" s="2" t="s">
        <v>10</v>
      </c>
      <c r="G4" s="3">
        <v>20000</v>
      </c>
      <c r="H4" s="3">
        <v>3000</v>
      </c>
      <c r="I4" t="str">
        <f t="shared" ref="I4:I62" si="0">TEXT(B4,"mmm-yyyy")</f>
        <v>Feb-2024</v>
      </c>
      <c r="J4" t="str">
        <f t="shared" ref="J4:J62" si="1">TEXT(B4,"mmm")</f>
        <v>Feb</v>
      </c>
      <c r="L4" s="8" t="s">
        <v>33</v>
      </c>
      <c r="M4" s="9">
        <v>42500</v>
      </c>
      <c r="P4" s="8" t="s">
        <v>33</v>
      </c>
      <c r="Q4" s="9">
        <v>42500</v>
      </c>
      <c r="T4" s="8" t="s">
        <v>44</v>
      </c>
      <c r="U4" s="9">
        <v>15500</v>
      </c>
      <c r="X4" s="8" t="s">
        <v>33</v>
      </c>
      <c r="Y4" s="9">
        <v>8600</v>
      </c>
    </row>
    <row r="5" spans="1:25" x14ac:dyDescent="0.3">
      <c r="A5" s="3">
        <v>1003</v>
      </c>
      <c r="B5" s="5">
        <v>45352</v>
      </c>
      <c r="C5" s="2" t="s">
        <v>21</v>
      </c>
      <c r="D5" s="2" t="s">
        <v>13</v>
      </c>
      <c r="E5" s="2" t="s">
        <v>14</v>
      </c>
      <c r="F5" s="2" t="s">
        <v>15</v>
      </c>
      <c r="G5" s="3">
        <v>7000</v>
      </c>
      <c r="H5" s="3">
        <v>1500</v>
      </c>
      <c r="I5" t="str">
        <f t="shared" si="0"/>
        <v>Mar-2024</v>
      </c>
      <c r="J5" t="str">
        <f t="shared" si="1"/>
        <v>Mar</v>
      </c>
      <c r="T5" s="8" t="s">
        <v>48</v>
      </c>
      <c r="U5" s="9">
        <v>15000</v>
      </c>
    </row>
    <row r="6" spans="1:25" x14ac:dyDescent="0.3">
      <c r="A6" s="3">
        <v>1004</v>
      </c>
      <c r="B6" s="5">
        <v>45383</v>
      </c>
      <c r="C6" s="2" t="s">
        <v>22</v>
      </c>
      <c r="D6" s="2" t="s">
        <v>16</v>
      </c>
      <c r="E6" s="2" t="s">
        <v>17</v>
      </c>
      <c r="F6" s="2" t="s">
        <v>15</v>
      </c>
      <c r="G6" s="3">
        <v>12000</v>
      </c>
      <c r="H6" s="3">
        <v>2500</v>
      </c>
      <c r="I6" t="str">
        <f t="shared" si="0"/>
        <v>Apr-2024</v>
      </c>
      <c r="J6" t="str">
        <f t="shared" si="1"/>
        <v>Apr</v>
      </c>
      <c r="T6" s="8" t="s">
        <v>33</v>
      </c>
      <c r="U6" s="9">
        <v>42500</v>
      </c>
    </row>
    <row r="7" spans="1:25" x14ac:dyDescent="0.3">
      <c r="A7" s="3">
        <v>1005</v>
      </c>
      <c r="B7" s="5">
        <v>45413</v>
      </c>
      <c r="C7" s="2" t="s">
        <v>23</v>
      </c>
      <c r="D7" s="2" t="s">
        <v>8</v>
      </c>
      <c r="E7" s="2" t="s">
        <v>18</v>
      </c>
      <c r="F7" s="2" t="s">
        <v>10</v>
      </c>
      <c r="G7" s="3">
        <v>3000</v>
      </c>
      <c r="H7" s="3">
        <v>500</v>
      </c>
      <c r="I7" t="str">
        <f t="shared" si="0"/>
        <v>May-2024</v>
      </c>
      <c r="J7" t="str">
        <f t="shared" si="1"/>
        <v>May</v>
      </c>
    </row>
    <row r="8" spans="1:25" x14ac:dyDescent="0.3">
      <c r="A8" s="3">
        <v>1006</v>
      </c>
      <c r="B8" s="5">
        <v>45444</v>
      </c>
      <c r="C8" s="2" t="s">
        <v>24</v>
      </c>
      <c r="D8" s="2" t="s">
        <v>11</v>
      </c>
      <c r="E8" s="2" t="s">
        <v>9</v>
      </c>
      <c r="F8" s="2" t="s">
        <v>10</v>
      </c>
      <c r="G8" s="3">
        <v>52000</v>
      </c>
      <c r="H8" s="3">
        <v>8200</v>
      </c>
      <c r="I8" t="str">
        <f t="shared" si="0"/>
        <v>Jun-2024</v>
      </c>
      <c r="J8" t="str">
        <f t="shared" si="1"/>
        <v>Jun</v>
      </c>
    </row>
    <row r="9" spans="1:25" x14ac:dyDescent="0.3">
      <c r="A9" s="3">
        <v>1007</v>
      </c>
      <c r="B9" s="5">
        <v>45474</v>
      </c>
      <c r="C9" s="2" t="s">
        <v>25</v>
      </c>
      <c r="D9" s="2" t="s">
        <v>13</v>
      </c>
      <c r="E9" s="2" t="s">
        <v>26</v>
      </c>
      <c r="F9" s="2" t="s">
        <v>15</v>
      </c>
      <c r="G9" s="3">
        <v>25000</v>
      </c>
      <c r="H9" s="3">
        <v>6000</v>
      </c>
      <c r="I9" t="str">
        <f t="shared" si="0"/>
        <v>Jul-2024</v>
      </c>
      <c r="J9" t="str">
        <f t="shared" si="1"/>
        <v>Jul</v>
      </c>
    </row>
    <row r="10" spans="1:25" x14ac:dyDescent="0.3">
      <c r="A10" s="3">
        <v>1008</v>
      </c>
      <c r="B10" s="5">
        <v>45505</v>
      </c>
      <c r="C10" s="2" t="s">
        <v>27</v>
      </c>
      <c r="D10" s="2" t="s">
        <v>16</v>
      </c>
      <c r="E10" s="2" t="s">
        <v>12</v>
      </c>
      <c r="F10" s="2" t="s">
        <v>10</v>
      </c>
      <c r="G10" s="3">
        <v>18000</v>
      </c>
      <c r="H10" s="3">
        <v>2500</v>
      </c>
      <c r="I10" t="str">
        <f t="shared" si="0"/>
        <v>Aug-2024</v>
      </c>
      <c r="J10" t="str">
        <f t="shared" si="1"/>
        <v>Aug</v>
      </c>
    </row>
    <row r="11" spans="1:25" x14ac:dyDescent="0.3">
      <c r="A11" s="3">
        <v>1009</v>
      </c>
      <c r="B11" s="5">
        <v>45536</v>
      </c>
      <c r="C11" s="2" t="s">
        <v>28</v>
      </c>
      <c r="D11" s="2" t="s">
        <v>8</v>
      </c>
      <c r="E11" s="2" t="s">
        <v>17</v>
      </c>
      <c r="F11" s="2" t="s">
        <v>15</v>
      </c>
      <c r="G11" s="3">
        <v>14000</v>
      </c>
      <c r="H11" s="3">
        <v>2800</v>
      </c>
      <c r="I11" t="str">
        <f t="shared" si="0"/>
        <v>Sep-2024</v>
      </c>
      <c r="J11" t="str">
        <f t="shared" si="1"/>
        <v>Sep</v>
      </c>
    </row>
    <row r="12" spans="1:25" x14ac:dyDescent="0.3">
      <c r="A12" s="3">
        <v>1010</v>
      </c>
      <c r="B12" s="5">
        <v>45566</v>
      </c>
      <c r="C12" s="2" t="s">
        <v>29</v>
      </c>
      <c r="D12" s="2" t="s">
        <v>11</v>
      </c>
      <c r="E12" s="2" t="s">
        <v>9</v>
      </c>
      <c r="F12" s="2" t="s">
        <v>10</v>
      </c>
      <c r="G12" s="3">
        <v>48000</v>
      </c>
      <c r="H12" s="3">
        <v>7500</v>
      </c>
      <c r="I12" t="str">
        <f t="shared" si="0"/>
        <v>Oct-2024</v>
      </c>
      <c r="J12" t="str">
        <f t="shared" si="1"/>
        <v>Oct</v>
      </c>
    </row>
    <row r="13" spans="1:25" x14ac:dyDescent="0.3">
      <c r="A13" s="3">
        <v>1011</v>
      </c>
      <c r="B13" s="5">
        <v>45597</v>
      </c>
      <c r="C13" s="2" t="s">
        <v>19</v>
      </c>
      <c r="D13" s="2" t="s">
        <v>13</v>
      </c>
      <c r="E13" s="2" t="s">
        <v>14</v>
      </c>
      <c r="F13" s="2" t="s">
        <v>15</v>
      </c>
      <c r="G13" s="3">
        <v>8000</v>
      </c>
      <c r="H13" s="3">
        <v>1700</v>
      </c>
      <c r="I13" t="str">
        <f t="shared" si="0"/>
        <v>Nov-2024</v>
      </c>
      <c r="J13" t="str">
        <f t="shared" si="1"/>
        <v>Nov</v>
      </c>
    </row>
    <row r="14" spans="1:25" x14ac:dyDescent="0.3">
      <c r="A14" s="3">
        <v>1012</v>
      </c>
      <c r="B14" s="5">
        <v>45627</v>
      </c>
      <c r="C14" s="2" t="s">
        <v>20</v>
      </c>
      <c r="D14" s="2" t="s">
        <v>16</v>
      </c>
      <c r="E14" s="2" t="s">
        <v>18</v>
      </c>
      <c r="F14" s="2" t="s">
        <v>10</v>
      </c>
      <c r="G14" s="3">
        <v>3500</v>
      </c>
      <c r="H14" s="3">
        <v>600</v>
      </c>
      <c r="I14" t="str">
        <f t="shared" si="0"/>
        <v>Dec-2024</v>
      </c>
      <c r="J14" t="str">
        <f t="shared" si="1"/>
        <v>Dec</v>
      </c>
    </row>
    <row r="15" spans="1:25" x14ac:dyDescent="0.3">
      <c r="A15" s="3">
        <v>1013</v>
      </c>
      <c r="B15" s="5">
        <v>45658</v>
      </c>
      <c r="C15" s="2" t="s">
        <v>21</v>
      </c>
      <c r="D15" s="2" t="s">
        <v>8</v>
      </c>
      <c r="E15" s="2" t="s">
        <v>26</v>
      </c>
      <c r="F15" s="2" t="s">
        <v>15</v>
      </c>
      <c r="G15" s="3">
        <v>27000</v>
      </c>
      <c r="H15" s="3">
        <v>6500</v>
      </c>
      <c r="I15" t="str">
        <f t="shared" si="0"/>
        <v>Jan-2025</v>
      </c>
      <c r="J15" t="str">
        <f t="shared" si="1"/>
        <v>Jan</v>
      </c>
    </row>
    <row r="16" spans="1:25" x14ac:dyDescent="0.3">
      <c r="A16" s="3">
        <v>1014</v>
      </c>
      <c r="B16" s="5">
        <v>45689</v>
      </c>
      <c r="C16" s="2" t="s">
        <v>22</v>
      </c>
      <c r="D16" s="2" t="s">
        <v>11</v>
      </c>
      <c r="E16" s="2" t="s">
        <v>12</v>
      </c>
      <c r="F16" s="2" t="s">
        <v>10</v>
      </c>
      <c r="G16" s="3">
        <v>22000</v>
      </c>
      <c r="H16" s="3">
        <v>3200</v>
      </c>
      <c r="I16" t="str">
        <f t="shared" si="0"/>
        <v>Feb-2025</v>
      </c>
      <c r="J16" t="str">
        <f t="shared" si="1"/>
        <v>Feb</v>
      </c>
    </row>
    <row r="17" spans="1:10" x14ac:dyDescent="0.3">
      <c r="A17" s="3">
        <v>1015</v>
      </c>
      <c r="B17" s="5">
        <v>45717</v>
      </c>
      <c r="C17" s="2" t="s">
        <v>23</v>
      </c>
      <c r="D17" s="2" t="s">
        <v>13</v>
      </c>
      <c r="E17" s="2" t="s">
        <v>17</v>
      </c>
      <c r="F17" s="2" t="s">
        <v>15</v>
      </c>
      <c r="G17" s="3">
        <v>13000</v>
      </c>
      <c r="H17" s="3">
        <v>2600</v>
      </c>
      <c r="I17" t="str">
        <f t="shared" si="0"/>
        <v>Mar-2025</v>
      </c>
      <c r="J17" t="str">
        <f t="shared" si="1"/>
        <v>Mar</v>
      </c>
    </row>
    <row r="18" spans="1:10" x14ac:dyDescent="0.3">
      <c r="A18" s="3">
        <v>1016</v>
      </c>
      <c r="B18" s="5">
        <v>45748</v>
      </c>
      <c r="C18" s="2" t="s">
        <v>24</v>
      </c>
      <c r="D18" s="2" t="s">
        <v>16</v>
      </c>
      <c r="E18" s="2" t="s">
        <v>9</v>
      </c>
      <c r="F18" s="2" t="s">
        <v>10</v>
      </c>
      <c r="G18" s="3">
        <v>51000</v>
      </c>
      <c r="H18" s="3">
        <v>8100</v>
      </c>
      <c r="I18" t="str">
        <f t="shared" si="0"/>
        <v>Apr-2025</v>
      </c>
      <c r="J18" t="str">
        <f t="shared" si="1"/>
        <v>Apr</v>
      </c>
    </row>
    <row r="19" spans="1:10" x14ac:dyDescent="0.3">
      <c r="A19" s="3">
        <v>1017</v>
      </c>
      <c r="B19" s="5">
        <v>45778</v>
      </c>
      <c r="C19" s="2" t="s">
        <v>25</v>
      </c>
      <c r="D19" s="2" t="s">
        <v>8</v>
      </c>
      <c r="E19" s="2" t="s">
        <v>14</v>
      </c>
      <c r="F19" s="2" t="s">
        <v>15</v>
      </c>
      <c r="G19" s="3">
        <v>9000</v>
      </c>
      <c r="H19" s="3">
        <v>1800</v>
      </c>
      <c r="I19" t="str">
        <f t="shared" si="0"/>
        <v>May-2025</v>
      </c>
      <c r="J19" t="str">
        <f t="shared" si="1"/>
        <v>May</v>
      </c>
    </row>
    <row r="20" spans="1:10" x14ac:dyDescent="0.3">
      <c r="A20" s="3">
        <v>1018</v>
      </c>
      <c r="B20" s="5">
        <v>45809</v>
      </c>
      <c r="C20" s="2" t="s">
        <v>27</v>
      </c>
      <c r="D20" s="2" t="s">
        <v>11</v>
      </c>
      <c r="E20" s="2" t="s">
        <v>12</v>
      </c>
      <c r="F20" s="2" t="s">
        <v>10</v>
      </c>
      <c r="G20" s="3">
        <v>21000</v>
      </c>
      <c r="H20" s="3">
        <v>3100</v>
      </c>
      <c r="I20" t="str">
        <f t="shared" si="0"/>
        <v>Jun-2025</v>
      </c>
      <c r="J20" t="str">
        <f t="shared" si="1"/>
        <v>Jun</v>
      </c>
    </row>
    <row r="21" spans="1:10" x14ac:dyDescent="0.3">
      <c r="A21" s="3">
        <v>1019</v>
      </c>
      <c r="B21" s="5">
        <v>45839</v>
      </c>
      <c r="C21" s="2" t="s">
        <v>28</v>
      </c>
      <c r="D21" s="2" t="s">
        <v>13</v>
      </c>
      <c r="E21" s="2" t="s">
        <v>26</v>
      </c>
      <c r="F21" s="2" t="s">
        <v>15</v>
      </c>
      <c r="G21" s="3">
        <v>26000</v>
      </c>
      <c r="H21" s="3">
        <v>6200</v>
      </c>
      <c r="I21" t="str">
        <f t="shared" si="0"/>
        <v>Jul-2025</v>
      </c>
      <c r="J21" t="str">
        <f t="shared" si="1"/>
        <v>Jul</v>
      </c>
    </row>
    <row r="22" spans="1:10" x14ac:dyDescent="0.3">
      <c r="A22" s="3">
        <v>1020</v>
      </c>
      <c r="B22" s="5">
        <v>45870</v>
      </c>
      <c r="C22" s="2" t="s">
        <v>29</v>
      </c>
      <c r="D22" s="2" t="s">
        <v>16</v>
      </c>
      <c r="E22" s="2" t="s">
        <v>18</v>
      </c>
      <c r="F22" s="2" t="s">
        <v>10</v>
      </c>
      <c r="G22" s="3">
        <v>4000</v>
      </c>
      <c r="H22" s="3">
        <v>700</v>
      </c>
      <c r="I22" t="str">
        <f t="shared" si="0"/>
        <v>Aug-2025</v>
      </c>
      <c r="J22" t="str">
        <f t="shared" si="1"/>
        <v>Aug</v>
      </c>
    </row>
    <row r="23" spans="1:10" x14ac:dyDescent="0.3">
      <c r="A23" s="3">
        <v>1021</v>
      </c>
      <c r="B23" s="5">
        <v>45901</v>
      </c>
      <c r="C23" s="2" t="s">
        <v>19</v>
      </c>
      <c r="D23" s="2" t="s">
        <v>8</v>
      </c>
      <c r="E23" s="2" t="s">
        <v>9</v>
      </c>
      <c r="F23" s="2" t="s">
        <v>10</v>
      </c>
      <c r="G23" s="3">
        <v>53000</v>
      </c>
      <c r="H23" s="3">
        <v>8300</v>
      </c>
      <c r="I23" t="str">
        <f t="shared" si="0"/>
        <v>Sep-2025</v>
      </c>
      <c r="J23" t="str">
        <f t="shared" si="1"/>
        <v>Sep</v>
      </c>
    </row>
    <row r="24" spans="1:10" x14ac:dyDescent="0.3">
      <c r="A24" s="3">
        <v>1022</v>
      </c>
      <c r="B24" s="5">
        <v>45931</v>
      </c>
      <c r="C24" s="2" t="s">
        <v>20</v>
      </c>
      <c r="D24" s="2" t="s">
        <v>11</v>
      </c>
      <c r="E24" s="2" t="s">
        <v>12</v>
      </c>
      <c r="F24" s="2" t="s">
        <v>10</v>
      </c>
      <c r="G24" s="3">
        <v>24000</v>
      </c>
      <c r="H24" s="3">
        <v>3500</v>
      </c>
      <c r="I24" t="str">
        <f t="shared" si="0"/>
        <v>Oct-2025</v>
      </c>
      <c r="J24" t="str">
        <f t="shared" si="1"/>
        <v>Oct</v>
      </c>
    </row>
    <row r="25" spans="1:10" x14ac:dyDescent="0.3">
      <c r="A25" s="3">
        <v>1023</v>
      </c>
      <c r="B25" s="5">
        <v>45962</v>
      </c>
      <c r="C25" s="2" t="s">
        <v>21</v>
      </c>
      <c r="D25" s="2" t="s">
        <v>13</v>
      </c>
      <c r="E25" s="2" t="s">
        <v>14</v>
      </c>
      <c r="F25" s="2" t="s">
        <v>15</v>
      </c>
      <c r="G25" s="3">
        <v>7500</v>
      </c>
      <c r="H25" s="3">
        <v>1600</v>
      </c>
      <c r="I25" t="str">
        <f t="shared" si="0"/>
        <v>Nov-2025</v>
      </c>
      <c r="J25" t="str">
        <f t="shared" si="1"/>
        <v>Nov</v>
      </c>
    </row>
    <row r="26" spans="1:10" x14ac:dyDescent="0.3">
      <c r="A26" s="3">
        <v>1024</v>
      </c>
      <c r="B26" s="5">
        <v>45992</v>
      </c>
      <c r="C26" s="2" t="s">
        <v>22</v>
      </c>
      <c r="D26" s="2" t="s">
        <v>16</v>
      </c>
      <c r="E26" s="2" t="s">
        <v>17</v>
      </c>
      <c r="F26" s="2" t="s">
        <v>15</v>
      </c>
      <c r="G26" s="3">
        <v>15000</v>
      </c>
      <c r="H26" s="3">
        <v>3000</v>
      </c>
      <c r="I26" t="str">
        <f t="shared" si="0"/>
        <v>Dec-2025</v>
      </c>
      <c r="J26" t="str">
        <f t="shared" si="1"/>
        <v>Dec</v>
      </c>
    </row>
    <row r="27" spans="1:10" x14ac:dyDescent="0.3">
      <c r="A27" s="3">
        <v>1025</v>
      </c>
      <c r="B27" s="5">
        <v>44927</v>
      </c>
      <c r="C27" s="2" t="s">
        <v>23</v>
      </c>
      <c r="D27" s="2" t="s">
        <v>8</v>
      </c>
      <c r="E27" s="2" t="s">
        <v>18</v>
      </c>
      <c r="F27" s="2" t="s">
        <v>10</v>
      </c>
      <c r="G27" s="3">
        <v>4500</v>
      </c>
      <c r="H27" s="3">
        <v>800</v>
      </c>
      <c r="I27" t="str">
        <f t="shared" si="0"/>
        <v>Jan-2023</v>
      </c>
      <c r="J27" t="str">
        <f t="shared" si="1"/>
        <v>Jan</v>
      </c>
    </row>
    <row r="28" spans="1:10" x14ac:dyDescent="0.3">
      <c r="A28" s="3">
        <v>1026</v>
      </c>
      <c r="B28" s="5">
        <v>44958</v>
      </c>
      <c r="C28" s="2" t="s">
        <v>24</v>
      </c>
      <c r="D28" s="2" t="s">
        <v>11</v>
      </c>
      <c r="E28" s="2" t="s">
        <v>9</v>
      </c>
      <c r="F28" s="2" t="s">
        <v>10</v>
      </c>
      <c r="G28" s="3">
        <v>55000</v>
      </c>
      <c r="H28" s="3">
        <v>9000</v>
      </c>
      <c r="I28" t="str">
        <f t="shared" si="0"/>
        <v>Feb-2023</v>
      </c>
      <c r="J28" t="str">
        <f t="shared" si="1"/>
        <v>Feb</v>
      </c>
    </row>
    <row r="29" spans="1:10" x14ac:dyDescent="0.3">
      <c r="A29" s="3">
        <v>1027</v>
      </c>
      <c r="B29" s="5">
        <v>44986</v>
      </c>
      <c r="C29" s="2" t="s">
        <v>25</v>
      </c>
      <c r="D29" s="2" t="s">
        <v>13</v>
      </c>
      <c r="E29" s="2" t="s">
        <v>26</v>
      </c>
      <c r="F29" s="2" t="s">
        <v>15</v>
      </c>
      <c r="G29" s="3">
        <v>28000</v>
      </c>
      <c r="H29" s="3">
        <v>6800</v>
      </c>
      <c r="I29" t="str">
        <f t="shared" si="0"/>
        <v>Mar-2023</v>
      </c>
      <c r="J29" t="str">
        <f t="shared" si="1"/>
        <v>Mar</v>
      </c>
    </row>
    <row r="30" spans="1:10" x14ac:dyDescent="0.3">
      <c r="A30" s="3">
        <v>1028</v>
      </c>
      <c r="B30" s="5">
        <v>45017</v>
      </c>
      <c r="C30" s="2" t="s">
        <v>27</v>
      </c>
      <c r="D30" s="2" t="s">
        <v>16</v>
      </c>
      <c r="E30" s="2" t="s">
        <v>12</v>
      </c>
      <c r="F30" s="2" t="s">
        <v>10</v>
      </c>
      <c r="G30" s="3">
        <v>20000</v>
      </c>
      <c r="H30" s="3">
        <v>2900</v>
      </c>
      <c r="I30" t="str">
        <f t="shared" si="0"/>
        <v>Apr-2023</v>
      </c>
      <c r="J30" t="str">
        <f t="shared" si="1"/>
        <v>Apr</v>
      </c>
    </row>
    <row r="31" spans="1:10" x14ac:dyDescent="0.3">
      <c r="A31" s="3">
        <v>1029</v>
      </c>
      <c r="B31" s="5">
        <v>45047</v>
      </c>
      <c r="C31" s="2" t="s">
        <v>28</v>
      </c>
      <c r="D31" s="2" t="s">
        <v>8</v>
      </c>
      <c r="E31" s="2" t="s">
        <v>17</v>
      </c>
      <c r="F31" s="2" t="s">
        <v>15</v>
      </c>
      <c r="G31" s="3">
        <v>16000</v>
      </c>
      <c r="H31" s="3">
        <v>3200</v>
      </c>
      <c r="I31" t="str">
        <f t="shared" si="0"/>
        <v>May-2023</v>
      </c>
      <c r="J31" t="str">
        <f t="shared" si="1"/>
        <v>May</v>
      </c>
    </row>
    <row r="32" spans="1:10" x14ac:dyDescent="0.3">
      <c r="A32" s="3">
        <v>1030</v>
      </c>
      <c r="B32" s="5">
        <v>45078</v>
      </c>
      <c r="C32" s="2" t="s">
        <v>29</v>
      </c>
      <c r="D32" s="2" t="s">
        <v>11</v>
      </c>
      <c r="E32" s="2" t="s">
        <v>9</v>
      </c>
      <c r="F32" s="2" t="s">
        <v>10</v>
      </c>
      <c r="G32" s="3">
        <v>47000</v>
      </c>
      <c r="H32" s="3">
        <v>7200</v>
      </c>
      <c r="I32" t="str">
        <f t="shared" si="0"/>
        <v>Jun-2023</v>
      </c>
      <c r="J32" t="str">
        <f t="shared" si="1"/>
        <v>Jun</v>
      </c>
    </row>
    <row r="33" spans="1:10" x14ac:dyDescent="0.3">
      <c r="A33" s="3">
        <v>1031</v>
      </c>
      <c r="B33" s="5">
        <v>45108</v>
      </c>
      <c r="C33" s="2" t="s">
        <v>19</v>
      </c>
      <c r="D33" s="2" t="s">
        <v>13</v>
      </c>
      <c r="E33" s="2" t="s">
        <v>14</v>
      </c>
      <c r="F33" s="2" t="s">
        <v>15</v>
      </c>
      <c r="G33" s="3">
        <v>8200</v>
      </c>
      <c r="H33" s="3">
        <v>1700</v>
      </c>
      <c r="I33" t="str">
        <f t="shared" si="0"/>
        <v>Jul-2023</v>
      </c>
      <c r="J33" t="str">
        <f t="shared" si="1"/>
        <v>Jul</v>
      </c>
    </row>
    <row r="34" spans="1:10" x14ac:dyDescent="0.3">
      <c r="A34" s="3">
        <v>1032</v>
      </c>
      <c r="B34" s="5">
        <v>45139</v>
      </c>
      <c r="C34" s="2" t="s">
        <v>20</v>
      </c>
      <c r="D34" s="2" t="s">
        <v>16</v>
      </c>
      <c r="E34" s="2" t="s">
        <v>18</v>
      </c>
      <c r="F34" s="2" t="s">
        <v>10</v>
      </c>
      <c r="G34" s="3">
        <v>3800</v>
      </c>
      <c r="H34" s="3">
        <v>650</v>
      </c>
      <c r="I34" t="str">
        <f t="shared" si="0"/>
        <v>Aug-2023</v>
      </c>
      <c r="J34" t="str">
        <f t="shared" si="1"/>
        <v>Aug</v>
      </c>
    </row>
    <row r="35" spans="1:10" x14ac:dyDescent="0.3">
      <c r="A35" s="3">
        <v>1033</v>
      </c>
      <c r="B35" s="5">
        <v>45170</v>
      </c>
      <c r="C35" s="2" t="s">
        <v>21</v>
      </c>
      <c r="D35" s="2" t="s">
        <v>8</v>
      </c>
      <c r="E35" s="2" t="s">
        <v>26</v>
      </c>
      <c r="F35" s="2" t="s">
        <v>15</v>
      </c>
      <c r="G35" s="3">
        <v>29000</v>
      </c>
      <c r="H35" s="3">
        <v>7000</v>
      </c>
      <c r="I35" t="str">
        <f t="shared" si="0"/>
        <v>Sep-2023</v>
      </c>
      <c r="J35" t="str">
        <f t="shared" si="1"/>
        <v>Sep</v>
      </c>
    </row>
    <row r="36" spans="1:10" x14ac:dyDescent="0.3">
      <c r="A36" s="3">
        <v>1034</v>
      </c>
      <c r="B36" s="5">
        <v>45200</v>
      </c>
      <c r="C36" s="2" t="s">
        <v>22</v>
      </c>
      <c r="D36" s="2" t="s">
        <v>11</v>
      </c>
      <c r="E36" s="2" t="s">
        <v>12</v>
      </c>
      <c r="F36" s="2" t="s">
        <v>10</v>
      </c>
      <c r="G36" s="3">
        <v>26000</v>
      </c>
      <c r="H36" s="3">
        <v>4000</v>
      </c>
      <c r="I36" t="str">
        <f t="shared" si="0"/>
        <v>Oct-2023</v>
      </c>
      <c r="J36" t="str">
        <f t="shared" si="1"/>
        <v>Oct</v>
      </c>
    </row>
    <row r="37" spans="1:10" x14ac:dyDescent="0.3">
      <c r="A37" s="3">
        <v>1035</v>
      </c>
      <c r="B37" s="5">
        <v>45231</v>
      </c>
      <c r="C37" s="2" t="s">
        <v>23</v>
      </c>
      <c r="D37" s="2" t="s">
        <v>13</v>
      </c>
      <c r="E37" s="2" t="s">
        <v>17</v>
      </c>
      <c r="F37" s="2" t="s">
        <v>15</v>
      </c>
      <c r="G37" s="3">
        <v>17000</v>
      </c>
      <c r="H37" s="3">
        <v>3400</v>
      </c>
      <c r="I37" t="str">
        <f t="shared" si="0"/>
        <v>Nov-2023</v>
      </c>
      <c r="J37" t="str">
        <f t="shared" si="1"/>
        <v>Nov</v>
      </c>
    </row>
    <row r="38" spans="1:10" x14ac:dyDescent="0.3">
      <c r="A38" s="3">
        <v>1036</v>
      </c>
      <c r="B38" s="5">
        <v>45261</v>
      </c>
      <c r="C38" s="2" t="s">
        <v>24</v>
      </c>
      <c r="D38" s="2" t="s">
        <v>16</v>
      </c>
      <c r="E38" s="2" t="s">
        <v>9</v>
      </c>
      <c r="F38" s="2" t="s">
        <v>10</v>
      </c>
      <c r="G38" s="3">
        <v>60000</v>
      </c>
      <c r="H38" s="3">
        <v>10000</v>
      </c>
      <c r="I38" t="str">
        <f t="shared" si="0"/>
        <v>Dec-2023</v>
      </c>
      <c r="J38" t="str">
        <f t="shared" si="1"/>
        <v>Dec</v>
      </c>
    </row>
    <row r="39" spans="1:10" x14ac:dyDescent="0.3">
      <c r="A39" s="3">
        <v>1037</v>
      </c>
      <c r="B39" s="5">
        <v>44562</v>
      </c>
      <c r="C39" s="2" t="s">
        <v>25</v>
      </c>
      <c r="D39" s="2" t="s">
        <v>8</v>
      </c>
      <c r="E39" s="2" t="s">
        <v>14</v>
      </c>
      <c r="F39" s="2" t="s">
        <v>15</v>
      </c>
      <c r="G39" s="3">
        <v>9500</v>
      </c>
      <c r="H39" s="3">
        <v>2000</v>
      </c>
      <c r="I39" t="str">
        <f t="shared" si="0"/>
        <v>Jan-2022</v>
      </c>
      <c r="J39" t="str">
        <f t="shared" si="1"/>
        <v>Jan</v>
      </c>
    </row>
    <row r="40" spans="1:10" x14ac:dyDescent="0.3">
      <c r="A40" s="3">
        <v>1038</v>
      </c>
      <c r="B40" s="5">
        <v>44593</v>
      </c>
      <c r="C40" s="2" t="s">
        <v>27</v>
      </c>
      <c r="D40" s="2" t="s">
        <v>11</v>
      </c>
      <c r="E40" s="2" t="s">
        <v>12</v>
      </c>
      <c r="F40" s="2" t="s">
        <v>10</v>
      </c>
      <c r="G40" s="3">
        <v>23000</v>
      </c>
      <c r="H40" s="3">
        <v>3300</v>
      </c>
      <c r="I40" t="str">
        <f t="shared" si="0"/>
        <v>Feb-2022</v>
      </c>
      <c r="J40" t="str">
        <f t="shared" si="1"/>
        <v>Feb</v>
      </c>
    </row>
    <row r="41" spans="1:10" x14ac:dyDescent="0.3">
      <c r="A41" s="3">
        <v>1039</v>
      </c>
      <c r="B41" s="5">
        <v>44621</v>
      </c>
      <c r="C41" s="2" t="s">
        <v>28</v>
      </c>
      <c r="D41" s="2" t="s">
        <v>13</v>
      </c>
      <c r="E41" s="2" t="s">
        <v>26</v>
      </c>
      <c r="F41" s="2" t="s">
        <v>15</v>
      </c>
      <c r="G41" s="3">
        <v>30000</v>
      </c>
      <c r="H41" s="3">
        <v>7500</v>
      </c>
      <c r="I41" t="str">
        <f t="shared" si="0"/>
        <v>Mar-2022</v>
      </c>
      <c r="J41" t="str">
        <f t="shared" si="1"/>
        <v>Mar</v>
      </c>
    </row>
    <row r="42" spans="1:10" x14ac:dyDescent="0.3">
      <c r="A42" s="3">
        <v>1040</v>
      </c>
      <c r="B42" s="5">
        <v>44652</v>
      </c>
      <c r="C42" s="2" t="s">
        <v>29</v>
      </c>
      <c r="D42" s="2" t="s">
        <v>16</v>
      </c>
      <c r="E42" s="2" t="s">
        <v>18</v>
      </c>
      <c r="F42" s="2" t="s">
        <v>10</v>
      </c>
      <c r="G42" s="3">
        <v>5000</v>
      </c>
      <c r="H42" s="3">
        <v>900</v>
      </c>
      <c r="I42" t="str">
        <f t="shared" si="0"/>
        <v>Apr-2022</v>
      </c>
      <c r="J42" t="str">
        <f t="shared" si="1"/>
        <v>Apr</v>
      </c>
    </row>
    <row r="43" spans="1:10" x14ac:dyDescent="0.3">
      <c r="A43" s="3">
        <v>1041</v>
      </c>
      <c r="B43" s="5">
        <v>44682</v>
      </c>
      <c r="C43" s="2" t="s">
        <v>19</v>
      </c>
      <c r="D43" s="2" t="s">
        <v>8</v>
      </c>
      <c r="E43" s="2" t="s">
        <v>9</v>
      </c>
      <c r="F43" s="2" t="s">
        <v>10</v>
      </c>
      <c r="G43" s="3">
        <v>54000</v>
      </c>
      <c r="H43" s="3">
        <v>8500</v>
      </c>
      <c r="I43" t="str">
        <f t="shared" si="0"/>
        <v>May-2022</v>
      </c>
      <c r="J43" t="str">
        <f t="shared" si="1"/>
        <v>May</v>
      </c>
    </row>
    <row r="44" spans="1:10" x14ac:dyDescent="0.3">
      <c r="A44" s="3">
        <v>1042</v>
      </c>
      <c r="B44" s="5">
        <v>44713</v>
      </c>
      <c r="C44" s="2" t="s">
        <v>20</v>
      </c>
      <c r="D44" s="2" t="s">
        <v>11</v>
      </c>
      <c r="E44" s="2" t="s">
        <v>12</v>
      </c>
      <c r="F44" s="2" t="s">
        <v>10</v>
      </c>
      <c r="G44" s="3">
        <v>25000</v>
      </c>
      <c r="H44" s="3">
        <v>3600</v>
      </c>
      <c r="I44" t="str">
        <f t="shared" si="0"/>
        <v>Jun-2022</v>
      </c>
      <c r="J44" t="str">
        <f t="shared" si="1"/>
        <v>Jun</v>
      </c>
    </row>
    <row r="45" spans="1:10" x14ac:dyDescent="0.3">
      <c r="A45" s="3">
        <v>1043</v>
      </c>
      <c r="B45" s="5">
        <v>44743</v>
      </c>
      <c r="C45" s="2" t="s">
        <v>21</v>
      </c>
      <c r="D45" s="2" t="s">
        <v>13</v>
      </c>
      <c r="E45" s="2" t="s">
        <v>14</v>
      </c>
      <c r="F45" s="2" t="s">
        <v>15</v>
      </c>
      <c r="G45" s="3">
        <v>7800</v>
      </c>
      <c r="H45" s="3">
        <v>1650</v>
      </c>
      <c r="I45" t="str">
        <f t="shared" si="0"/>
        <v>Jul-2022</v>
      </c>
      <c r="J45" t="str">
        <f t="shared" si="1"/>
        <v>Jul</v>
      </c>
    </row>
    <row r="46" spans="1:10" x14ac:dyDescent="0.3">
      <c r="A46" s="3">
        <v>1044</v>
      </c>
      <c r="B46" s="5">
        <v>44774</v>
      </c>
      <c r="C46" s="2" t="s">
        <v>22</v>
      </c>
      <c r="D46" s="2" t="s">
        <v>16</v>
      </c>
      <c r="E46" s="2" t="s">
        <v>17</v>
      </c>
      <c r="F46" s="2" t="s">
        <v>15</v>
      </c>
      <c r="G46" s="3">
        <v>15500</v>
      </c>
      <c r="H46" s="3">
        <v>3100</v>
      </c>
      <c r="I46" t="str">
        <f t="shared" si="0"/>
        <v>Aug-2022</v>
      </c>
      <c r="J46" t="str">
        <f t="shared" si="1"/>
        <v>Aug</v>
      </c>
    </row>
    <row r="47" spans="1:10" x14ac:dyDescent="0.3">
      <c r="A47" s="3">
        <v>1045</v>
      </c>
      <c r="B47" s="5">
        <v>44805</v>
      </c>
      <c r="C47" s="2" t="s">
        <v>23</v>
      </c>
      <c r="D47" s="2" t="s">
        <v>8</v>
      </c>
      <c r="E47" s="2" t="s">
        <v>18</v>
      </c>
      <c r="F47" s="2" t="s">
        <v>10</v>
      </c>
      <c r="G47" s="3">
        <v>4800</v>
      </c>
      <c r="H47" s="3">
        <v>850</v>
      </c>
      <c r="I47" t="str">
        <f t="shared" si="0"/>
        <v>Sep-2022</v>
      </c>
      <c r="J47" t="str">
        <f t="shared" si="1"/>
        <v>Sep</v>
      </c>
    </row>
    <row r="48" spans="1:10" x14ac:dyDescent="0.3">
      <c r="A48" s="3">
        <v>1046</v>
      </c>
      <c r="B48" s="5">
        <v>44835</v>
      </c>
      <c r="C48" s="2" t="s">
        <v>24</v>
      </c>
      <c r="D48" s="2" t="s">
        <v>11</v>
      </c>
      <c r="E48" s="2" t="s">
        <v>9</v>
      </c>
      <c r="F48" s="2" t="s">
        <v>10</v>
      </c>
      <c r="G48" s="3">
        <v>56000</v>
      </c>
      <c r="H48" s="3">
        <v>9200</v>
      </c>
      <c r="I48" t="str">
        <f t="shared" si="0"/>
        <v>Oct-2022</v>
      </c>
      <c r="J48" t="str">
        <f t="shared" si="1"/>
        <v>Oct</v>
      </c>
    </row>
    <row r="49" spans="1:10" x14ac:dyDescent="0.3">
      <c r="A49" s="3">
        <v>1047</v>
      </c>
      <c r="B49" s="5">
        <v>44866</v>
      </c>
      <c r="C49" s="2" t="s">
        <v>25</v>
      </c>
      <c r="D49" s="2" t="s">
        <v>13</v>
      </c>
      <c r="E49" s="2" t="s">
        <v>26</v>
      </c>
      <c r="F49" s="2" t="s">
        <v>15</v>
      </c>
      <c r="G49" s="3">
        <v>28500</v>
      </c>
      <c r="H49" s="3">
        <v>6900</v>
      </c>
      <c r="I49" t="str">
        <f t="shared" si="0"/>
        <v>Nov-2022</v>
      </c>
      <c r="J49" t="str">
        <f t="shared" si="1"/>
        <v>Nov</v>
      </c>
    </row>
    <row r="50" spans="1:10" x14ac:dyDescent="0.3">
      <c r="A50" s="3">
        <v>1048</v>
      </c>
      <c r="B50" s="5">
        <v>44896</v>
      </c>
      <c r="C50" s="2" t="s">
        <v>27</v>
      </c>
      <c r="D50" s="2" t="s">
        <v>16</v>
      </c>
      <c r="E50" s="2" t="s">
        <v>12</v>
      </c>
      <c r="F50" s="2" t="s">
        <v>10</v>
      </c>
      <c r="G50" s="3">
        <v>21000</v>
      </c>
      <c r="H50" s="3">
        <v>3000</v>
      </c>
      <c r="I50" t="str">
        <f t="shared" si="0"/>
        <v>Dec-2022</v>
      </c>
      <c r="J50" t="str">
        <f t="shared" si="1"/>
        <v>Dec</v>
      </c>
    </row>
    <row r="51" spans="1:10" x14ac:dyDescent="0.3">
      <c r="A51" s="3">
        <v>1049</v>
      </c>
      <c r="B51" s="5">
        <v>44197</v>
      </c>
      <c r="C51" s="2" t="s">
        <v>28</v>
      </c>
      <c r="D51" s="2" t="s">
        <v>8</v>
      </c>
      <c r="E51" s="2" t="s">
        <v>17</v>
      </c>
      <c r="F51" s="2" t="s">
        <v>15</v>
      </c>
      <c r="G51" s="3">
        <v>16500</v>
      </c>
      <c r="H51" s="3">
        <v>3300</v>
      </c>
      <c r="I51" t="str">
        <f t="shared" si="0"/>
        <v>Jan-2021</v>
      </c>
      <c r="J51" t="str">
        <f t="shared" si="1"/>
        <v>Jan</v>
      </c>
    </row>
    <row r="52" spans="1:10" x14ac:dyDescent="0.3">
      <c r="A52" s="3">
        <v>1050</v>
      </c>
      <c r="B52" s="5">
        <v>44228</v>
      </c>
      <c r="C52" s="2" t="s">
        <v>29</v>
      </c>
      <c r="D52" s="2" t="s">
        <v>11</v>
      </c>
      <c r="E52" s="2" t="s">
        <v>9</v>
      </c>
      <c r="F52" s="2" t="s">
        <v>10</v>
      </c>
      <c r="G52" s="3">
        <v>49000</v>
      </c>
      <c r="H52" s="3">
        <v>7600</v>
      </c>
      <c r="I52" t="str">
        <f t="shared" si="0"/>
        <v>Feb-2021</v>
      </c>
      <c r="J52" t="str">
        <f t="shared" si="1"/>
        <v>Feb</v>
      </c>
    </row>
    <row r="53" spans="1:10" x14ac:dyDescent="0.3">
      <c r="A53" s="3">
        <v>1051</v>
      </c>
      <c r="B53" s="5">
        <v>44256</v>
      </c>
      <c r="C53" s="2" t="s">
        <v>19</v>
      </c>
      <c r="D53" s="2" t="s">
        <v>13</v>
      </c>
      <c r="E53" s="2" t="s">
        <v>14</v>
      </c>
      <c r="F53" s="2" t="s">
        <v>15</v>
      </c>
      <c r="G53" s="3">
        <v>8300</v>
      </c>
      <c r="H53" s="3">
        <v>1750</v>
      </c>
      <c r="I53" t="str">
        <f t="shared" si="0"/>
        <v>Mar-2021</v>
      </c>
      <c r="J53" t="str">
        <f t="shared" si="1"/>
        <v>Mar</v>
      </c>
    </row>
    <row r="54" spans="1:10" x14ac:dyDescent="0.3">
      <c r="A54" s="3">
        <v>1052</v>
      </c>
      <c r="B54" s="5">
        <v>44287</v>
      </c>
      <c r="C54" s="2" t="s">
        <v>20</v>
      </c>
      <c r="D54" s="2" t="s">
        <v>16</v>
      </c>
      <c r="E54" s="2" t="s">
        <v>18</v>
      </c>
      <c r="F54" s="2" t="s">
        <v>10</v>
      </c>
      <c r="G54" s="3">
        <v>4000</v>
      </c>
      <c r="H54" s="3">
        <v>700</v>
      </c>
      <c r="I54" t="str">
        <f t="shared" si="0"/>
        <v>Apr-2021</v>
      </c>
      <c r="J54" t="str">
        <f t="shared" si="1"/>
        <v>Apr</v>
      </c>
    </row>
    <row r="55" spans="1:10" x14ac:dyDescent="0.3">
      <c r="A55" s="3">
        <v>1053</v>
      </c>
      <c r="B55" s="5">
        <v>44317</v>
      </c>
      <c r="C55" s="2" t="s">
        <v>21</v>
      </c>
      <c r="D55" s="2" t="s">
        <v>8</v>
      </c>
      <c r="E55" s="2" t="s">
        <v>26</v>
      </c>
      <c r="F55" s="2" t="s">
        <v>15</v>
      </c>
      <c r="G55" s="3">
        <v>30000</v>
      </c>
      <c r="H55" s="3">
        <v>7200</v>
      </c>
      <c r="I55" t="str">
        <f t="shared" si="0"/>
        <v>May-2021</v>
      </c>
      <c r="J55" t="str">
        <f t="shared" si="1"/>
        <v>May</v>
      </c>
    </row>
    <row r="56" spans="1:10" x14ac:dyDescent="0.3">
      <c r="A56" s="3">
        <v>1054</v>
      </c>
      <c r="B56" s="5">
        <v>44348</v>
      </c>
      <c r="C56" s="2" t="s">
        <v>22</v>
      </c>
      <c r="D56" s="2" t="s">
        <v>11</v>
      </c>
      <c r="E56" s="2" t="s">
        <v>12</v>
      </c>
      <c r="F56" s="2" t="s">
        <v>10</v>
      </c>
      <c r="G56" s="3">
        <v>27000</v>
      </c>
      <c r="H56" s="3">
        <v>4100</v>
      </c>
      <c r="I56" t="str">
        <f t="shared" si="0"/>
        <v>Jun-2021</v>
      </c>
      <c r="J56" t="str">
        <f t="shared" si="1"/>
        <v>Jun</v>
      </c>
    </row>
    <row r="57" spans="1:10" x14ac:dyDescent="0.3">
      <c r="A57" s="3">
        <v>1055</v>
      </c>
      <c r="B57" s="5">
        <v>44378</v>
      </c>
      <c r="C57" s="2" t="s">
        <v>23</v>
      </c>
      <c r="D57" s="2" t="s">
        <v>13</v>
      </c>
      <c r="E57" s="2" t="s">
        <v>17</v>
      </c>
      <c r="F57" s="2" t="s">
        <v>15</v>
      </c>
      <c r="G57" s="3">
        <v>17500</v>
      </c>
      <c r="H57" s="3">
        <v>3500</v>
      </c>
      <c r="I57" t="str">
        <f t="shared" si="0"/>
        <v>Jul-2021</v>
      </c>
      <c r="J57" t="str">
        <f t="shared" si="1"/>
        <v>Jul</v>
      </c>
    </row>
    <row r="58" spans="1:10" x14ac:dyDescent="0.3">
      <c r="A58" s="3">
        <v>1056</v>
      </c>
      <c r="B58" s="5">
        <v>44409</v>
      </c>
      <c r="C58" s="2" t="s">
        <v>24</v>
      </c>
      <c r="D58" s="2" t="s">
        <v>16</v>
      </c>
      <c r="E58" s="2" t="s">
        <v>9</v>
      </c>
      <c r="F58" s="2" t="s">
        <v>10</v>
      </c>
      <c r="G58" s="3">
        <v>61000</v>
      </c>
      <c r="H58" s="3">
        <v>10200</v>
      </c>
      <c r="I58" t="str">
        <f t="shared" si="0"/>
        <v>Aug-2021</v>
      </c>
      <c r="J58" t="str">
        <f t="shared" si="1"/>
        <v>Aug</v>
      </c>
    </row>
    <row r="59" spans="1:10" x14ac:dyDescent="0.3">
      <c r="A59" s="3">
        <v>1057</v>
      </c>
      <c r="B59" s="5">
        <v>44440</v>
      </c>
      <c r="C59" s="2" t="s">
        <v>25</v>
      </c>
      <c r="D59" s="2" t="s">
        <v>8</v>
      </c>
      <c r="E59" s="2" t="s">
        <v>14</v>
      </c>
      <c r="F59" s="2" t="s">
        <v>15</v>
      </c>
      <c r="G59" s="3">
        <v>9800</v>
      </c>
      <c r="H59" s="3">
        <v>2100</v>
      </c>
      <c r="I59" t="str">
        <f t="shared" si="0"/>
        <v>Sep-2021</v>
      </c>
      <c r="J59" t="str">
        <f t="shared" si="1"/>
        <v>Sep</v>
      </c>
    </row>
    <row r="60" spans="1:10" x14ac:dyDescent="0.3">
      <c r="A60" s="3">
        <v>1058</v>
      </c>
      <c r="B60" s="5">
        <v>44470</v>
      </c>
      <c r="C60" s="2" t="s">
        <v>27</v>
      </c>
      <c r="D60" s="2" t="s">
        <v>11</v>
      </c>
      <c r="E60" s="2" t="s">
        <v>12</v>
      </c>
      <c r="F60" s="2" t="s">
        <v>10</v>
      </c>
      <c r="G60" s="3">
        <v>24000</v>
      </c>
      <c r="H60" s="3">
        <v>3400</v>
      </c>
      <c r="I60" t="str">
        <f t="shared" si="0"/>
        <v>Oct-2021</v>
      </c>
      <c r="J60" t="str">
        <f t="shared" si="1"/>
        <v>Oct</v>
      </c>
    </row>
    <row r="61" spans="1:10" x14ac:dyDescent="0.3">
      <c r="A61" s="3">
        <v>1059</v>
      </c>
      <c r="B61" s="5">
        <v>44501</v>
      </c>
      <c r="C61" s="2" t="s">
        <v>28</v>
      </c>
      <c r="D61" s="2" t="s">
        <v>13</v>
      </c>
      <c r="E61" s="2" t="s">
        <v>26</v>
      </c>
      <c r="F61" s="2" t="s">
        <v>15</v>
      </c>
      <c r="G61" s="3">
        <v>31000</v>
      </c>
      <c r="H61" s="3">
        <v>7700</v>
      </c>
      <c r="I61" t="str">
        <f t="shared" si="0"/>
        <v>Nov-2021</v>
      </c>
      <c r="J61" t="str">
        <f t="shared" si="1"/>
        <v>Nov</v>
      </c>
    </row>
    <row r="62" spans="1:10" x14ac:dyDescent="0.3">
      <c r="A62" s="3">
        <v>1060</v>
      </c>
      <c r="B62" s="5">
        <v>44531</v>
      </c>
      <c r="C62" s="2" t="s">
        <v>29</v>
      </c>
      <c r="D62" s="2" t="s">
        <v>16</v>
      </c>
      <c r="E62" s="2" t="s">
        <v>18</v>
      </c>
      <c r="F62" s="2" t="s">
        <v>10</v>
      </c>
      <c r="G62" s="3">
        <v>5200</v>
      </c>
      <c r="H62" s="3">
        <v>950</v>
      </c>
      <c r="I62" t="str">
        <f t="shared" si="0"/>
        <v>Dec-2021</v>
      </c>
      <c r="J62" t="str">
        <f t="shared" si="1"/>
        <v>Dec</v>
      </c>
    </row>
  </sheetData>
  <mergeCells count="4">
    <mergeCell ref="L1:M1"/>
    <mergeCell ref="P1:Q1"/>
    <mergeCell ref="T1:U1"/>
    <mergeCell ref="X1:Y1"/>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35AC7-FD5D-49CF-8E22-68D508095AAB}">
  <dimension ref="B1:G42"/>
  <sheetViews>
    <sheetView tabSelected="1" topLeftCell="A4" workbookViewId="0">
      <selection activeCell="B5" sqref="B5:G5"/>
    </sheetView>
  </sheetViews>
  <sheetFormatPr defaultRowHeight="14.4" x14ac:dyDescent="0.3"/>
  <cols>
    <col min="2" max="2" width="87.44140625" customWidth="1"/>
  </cols>
  <sheetData>
    <row r="1" spans="2:7" x14ac:dyDescent="0.3">
      <c r="B1" s="17" t="s">
        <v>63</v>
      </c>
      <c r="C1" s="11"/>
      <c r="D1" s="11"/>
      <c r="E1" s="11"/>
      <c r="F1" s="11"/>
      <c r="G1" s="11"/>
    </row>
    <row r="2" spans="2:7" x14ac:dyDescent="0.3">
      <c r="B2" s="11"/>
      <c r="C2" s="11"/>
      <c r="D2" s="11"/>
      <c r="E2" s="11"/>
      <c r="F2" s="11"/>
      <c r="G2" s="11"/>
    </row>
    <row r="3" spans="2:7" x14ac:dyDescent="0.3">
      <c r="B3" s="15"/>
      <c r="C3" s="15"/>
      <c r="D3" s="15"/>
      <c r="E3" s="15"/>
      <c r="F3" s="15"/>
      <c r="G3" s="15"/>
    </row>
    <row r="4" spans="2:7" x14ac:dyDescent="0.3">
      <c r="B4" s="16" t="s">
        <v>64</v>
      </c>
      <c r="C4" s="11"/>
      <c r="D4" s="11"/>
      <c r="E4" s="11"/>
      <c r="F4" s="11"/>
      <c r="G4" s="11"/>
    </row>
    <row r="5" spans="2:7" x14ac:dyDescent="0.3">
      <c r="B5" s="14" t="s">
        <v>65</v>
      </c>
      <c r="C5" s="11"/>
      <c r="D5" s="11"/>
      <c r="E5" s="11"/>
      <c r="F5" s="11"/>
      <c r="G5" s="11"/>
    </row>
    <row r="6" spans="2:7" x14ac:dyDescent="0.3">
      <c r="B6" s="14" t="s">
        <v>66</v>
      </c>
      <c r="C6" s="11"/>
      <c r="D6" s="11"/>
      <c r="E6" s="11"/>
      <c r="F6" s="11"/>
      <c r="G6" s="11"/>
    </row>
    <row r="7" spans="2:7" x14ac:dyDescent="0.3">
      <c r="B7" s="15"/>
      <c r="C7" s="15"/>
      <c r="D7" s="15"/>
      <c r="E7" s="15"/>
      <c r="F7" s="15"/>
      <c r="G7" s="15"/>
    </row>
    <row r="8" spans="2:7" x14ac:dyDescent="0.3">
      <c r="B8" s="16" t="s">
        <v>67</v>
      </c>
      <c r="C8" s="11"/>
      <c r="D8" s="11"/>
      <c r="E8" s="11"/>
      <c r="F8" s="11"/>
      <c r="G8" s="11"/>
    </row>
    <row r="9" spans="2:7" x14ac:dyDescent="0.3">
      <c r="B9" s="14" t="s">
        <v>68</v>
      </c>
      <c r="C9" s="11"/>
      <c r="D9" s="11"/>
      <c r="E9" s="11"/>
      <c r="F9" s="11"/>
      <c r="G9" s="11"/>
    </row>
    <row r="10" spans="2:7" x14ac:dyDescent="0.3">
      <c r="B10" s="14" t="s">
        <v>69</v>
      </c>
      <c r="C10" s="11"/>
      <c r="D10" s="11"/>
      <c r="E10" s="11"/>
      <c r="F10" s="11"/>
      <c r="G10" s="11"/>
    </row>
    <row r="11" spans="2:7" x14ac:dyDescent="0.3">
      <c r="B11" s="14" t="s">
        <v>70</v>
      </c>
      <c r="C11" s="11"/>
      <c r="D11" s="11"/>
      <c r="E11" s="11"/>
      <c r="F11" s="11"/>
      <c r="G11" s="11"/>
    </row>
    <row r="12" spans="2:7" x14ac:dyDescent="0.3">
      <c r="B12" s="14" t="s">
        <v>71</v>
      </c>
      <c r="C12" s="11"/>
      <c r="D12" s="11"/>
      <c r="E12" s="11"/>
      <c r="F12" s="11"/>
      <c r="G12" s="11"/>
    </row>
    <row r="13" spans="2:7" x14ac:dyDescent="0.3">
      <c r="B13" s="15"/>
      <c r="C13" s="15"/>
      <c r="D13" s="15"/>
      <c r="E13" s="15"/>
      <c r="F13" s="15"/>
      <c r="G13" s="15"/>
    </row>
    <row r="14" spans="2:7" x14ac:dyDescent="0.3">
      <c r="B14" s="16" t="s">
        <v>72</v>
      </c>
      <c r="C14" s="11"/>
      <c r="D14" s="11"/>
      <c r="E14" s="11"/>
      <c r="F14" s="11"/>
      <c r="G14" s="11"/>
    </row>
    <row r="15" spans="2:7" x14ac:dyDescent="0.3">
      <c r="B15" s="14" t="s">
        <v>73</v>
      </c>
      <c r="C15" s="11"/>
      <c r="D15" s="11"/>
      <c r="E15" s="11"/>
      <c r="F15" s="11"/>
      <c r="G15" s="11"/>
    </row>
    <row r="16" spans="2:7" x14ac:dyDescent="0.3">
      <c r="B16" s="14" t="s">
        <v>74</v>
      </c>
      <c r="C16" s="11"/>
      <c r="D16" s="11"/>
      <c r="E16" s="11"/>
      <c r="F16" s="11"/>
      <c r="G16" s="11"/>
    </row>
    <row r="17" spans="2:7" x14ac:dyDescent="0.3">
      <c r="B17" s="14" t="s">
        <v>75</v>
      </c>
      <c r="C17" s="11"/>
      <c r="D17" s="11"/>
      <c r="E17" s="11"/>
      <c r="F17" s="11"/>
      <c r="G17" s="11"/>
    </row>
    <row r="18" spans="2:7" x14ac:dyDescent="0.3">
      <c r="B18" s="14" t="s">
        <v>76</v>
      </c>
      <c r="C18" s="11"/>
      <c r="D18" s="11"/>
      <c r="E18" s="11"/>
      <c r="F18" s="11"/>
      <c r="G18" s="11"/>
    </row>
    <row r="19" spans="2:7" x14ac:dyDescent="0.3">
      <c r="B19" s="15"/>
      <c r="C19" s="15"/>
      <c r="D19" s="15"/>
      <c r="E19" s="15"/>
      <c r="F19" s="15"/>
      <c r="G19" s="15"/>
    </row>
    <row r="20" spans="2:7" x14ac:dyDescent="0.3">
      <c r="B20" s="16" t="s">
        <v>77</v>
      </c>
      <c r="C20" s="11"/>
      <c r="D20" s="11"/>
      <c r="E20" s="11"/>
      <c r="F20" s="11"/>
      <c r="G20" s="11"/>
    </row>
    <row r="21" spans="2:7" x14ac:dyDescent="0.3">
      <c r="B21" s="14" t="s">
        <v>78</v>
      </c>
      <c r="C21" s="11"/>
      <c r="D21" s="11"/>
      <c r="E21" s="11"/>
      <c r="F21" s="11"/>
      <c r="G21" s="11"/>
    </row>
    <row r="22" spans="2:7" x14ac:dyDescent="0.3">
      <c r="B22" s="14" t="s">
        <v>79</v>
      </c>
      <c r="C22" s="11"/>
      <c r="D22" s="11"/>
      <c r="E22" s="11"/>
      <c r="F22" s="11"/>
      <c r="G22" s="11"/>
    </row>
    <row r="23" spans="2:7" x14ac:dyDescent="0.3">
      <c r="B23" s="14" t="s">
        <v>80</v>
      </c>
      <c r="C23" s="11"/>
      <c r="D23" s="11"/>
      <c r="E23" s="11"/>
      <c r="F23" s="11"/>
      <c r="G23" s="11"/>
    </row>
    <row r="24" spans="2:7" x14ac:dyDescent="0.3">
      <c r="B24" s="15"/>
      <c r="C24" s="15"/>
      <c r="D24" s="15"/>
      <c r="E24" s="15"/>
      <c r="F24" s="15"/>
      <c r="G24" s="15"/>
    </row>
    <row r="25" spans="2:7" x14ac:dyDescent="0.3">
      <c r="B25" s="16" t="s">
        <v>81</v>
      </c>
      <c r="C25" s="11"/>
      <c r="D25" s="11"/>
      <c r="E25" s="11"/>
      <c r="F25" s="11"/>
      <c r="G25" s="11"/>
    </row>
    <row r="26" spans="2:7" x14ac:dyDescent="0.3">
      <c r="B26" s="14" t="s">
        <v>82</v>
      </c>
      <c r="C26" s="11"/>
      <c r="D26" s="11"/>
      <c r="E26" s="11"/>
      <c r="F26" s="11"/>
      <c r="G26" s="11"/>
    </row>
    <row r="27" spans="2:7" x14ac:dyDescent="0.3">
      <c r="B27" s="14" t="s">
        <v>83</v>
      </c>
      <c r="C27" s="11"/>
      <c r="D27" s="11"/>
      <c r="E27" s="11"/>
      <c r="F27" s="11"/>
      <c r="G27" s="11"/>
    </row>
    <row r="28" spans="2:7" x14ac:dyDescent="0.3">
      <c r="B28" s="14" t="s">
        <v>84</v>
      </c>
      <c r="C28" s="11"/>
      <c r="D28" s="11"/>
      <c r="E28" s="11"/>
      <c r="F28" s="11"/>
      <c r="G28" s="11"/>
    </row>
    <row r="29" spans="2:7" x14ac:dyDescent="0.3">
      <c r="B29" s="14" t="s">
        <v>85</v>
      </c>
      <c r="C29" s="11"/>
      <c r="D29" s="11"/>
      <c r="E29" s="11"/>
      <c r="F29" s="11"/>
      <c r="G29" s="11"/>
    </row>
    <row r="30" spans="2:7" x14ac:dyDescent="0.3">
      <c r="B30" s="15"/>
      <c r="C30" s="15"/>
      <c r="D30" s="15"/>
      <c r="E30" s="15"/>
      <c r="F30" s="15"/>
      <c r="G30" s="15"/>
    </row>
    <row r="31" spans="2:7" x14ac:dyDescent="0.3">
      <c r="B31" s="16" t="s">
        <v>86</v>
      </c>
      <c r="C31" s="11"/>
      <c r="D31" s="11"/>
      <c r="E31" s="11"/>
      <c r="F31" s="11"/>
      <c r="G31" s="11"/>
    </row>
    <row r="32" spans="2:7" x14ac:dyDescent="0.3">
      <c r="B32" s="14" t="s">
        <v>87</v>
      </c>
      <c r="C32" s="11"/>
      <c r="D32" s="11"/>
      <c r="E32" s="11"/>
      <c r="F32" s="11"/>
      <c r="G32" s="11"/>
    </row>
    <row r="33" spans="2:7" x14ac:dyDescent="0.3">
      <c r="B33" s="14" t="s">
        <v>88</v>
      </c>
      <c r="C33" s="11"/>
      <c r="D33" s="11"/>
      <c r="E33" s="11"/>
      <c r="F33" s="11"/>
      <c r="G33" s="11"/>
    </row>
    <row r="34" spans="2:7" x14ac:dyDescent="0.3">
      <c r="B34" s="14" t="s">
        <v>89</v>
      </c>
      <c r="C34" s="11"/>
      <c r="D34" s="11"/>
      <c r="E34" s="11"/>
      <c r="F34" s="11"/>
      <c r="G34" s="11"/>
    </row>
    <row r="35" spans="2:7" x14ac:dyDescent="0.3">
      <c r="B35" s="14" t="s">
        <v>90</v>
      </c>
      <c r="C35" s="11"/>
      <c r="D35" s="11"/>
      <c r="E35" s="11"/>
      <c r="F35" s="11"/>
      <c r="G35" s="11"/>
    </row>
    <row r="36" spans="2:7" x14ac:dyDescent="0.3">
      <c r="B36" s="15"/>
      <c r="C36" s="15"/>
      <c r="D36" s="15"/>
      <c r="E36" s="15"/>
      <c r="F36" s="15"/>
      <c r="G36" s="15"/>
    </row>
    <row r="37" spans="2:7" x14ac:dyDescent="0.3">
      <c r="B37" s="16" t="s">
        <v>91</v>
      </c>
      <c r="C37" s="11"/>
      <c r="D37" s="11"/>
      <c r="E37" s="11"/>
      <c r="F37" s="11"/>
      <c r="G37" s="11"/>
    </row>
    <row r="38" spans="2:7" x14ac:dyDescent="0.3">
      <c r="B38" s="14" t="s">
        <v>92</v>
      </c>
      <c r="C38" s="11"/>
      <c r="D38" s="11"/>
      <c r="E38" s="11"/>
      <c r="F38" s="11"/>
      <c r="G38" s="11"/>
    </row>
    <row r="39" spans="2:7" x14ac:dyDescent="0.3">
      <c r="B39" s="14" t="s">
        <v>93</v>
      </c>
      <c r="C39" s="11"/>
      <c r="D39" s="11"/>
      <c r="E39" s="11"/>
      <c r="F39" s="11"/>
      <c r="G39" s="11"/>
    </row>
    <row r="40" spans="2:7" x14ac:dyDescent="0.3">
      <c r="B40" s="14" t="s">
        <v>94</v>
      </c>
      <c r="C40" s="11"/>
      <c r="D40" s="11"/>
      <c r="E40" s="11"/>
      <c r="F40" s="11"/>
      <c r="G40" s="11"/>
    </row>
    <row r="41" spans="2:7" x14ac:dyDescent="0.3">
      <c r="B41" s="15"/>
      <c r="C41" s="15"/>
      <c r="D41" s="15"/>
      <c r="E41" s="15"/>
      <c r="F41" s="15"/>
      <c r="G41" s="15"/>
    </row>
    <row r="42" spans="2:7" x14ac:dyDescent="0.3">
      <c r="B42" s="15"/>
      <c r="C42" s="15"/>
      <c r="D42" s="15"/>
      <c r="E42" s="15"/>
      <c r="F42" s="15"/>
      <c r="G42" s="15"/>
    </row>
  </sheetData>
  <mergeCells count="32">
    <mergeCell ref="B5:G5"/>
    <mergeCell ref="B23:G23"/>
    <mergeCell ref="B1:G2"/>
    <mergeCell ref="B32:G32"/>
    <mergeCell ref="B8:G8"/>
    <mergeCell ref="B22:G22"/>
    <mergeCell ref="B17:G17"/>
    <mergeCell ref="B4:G4"/>
    <mergeCell ref="B20:G20"/>
    <mergeCell ref="B29:G29"/>
    <mergeCell ref="B16:G16"/>
    <mergeCell ref="B27:G27"/>
    <mergeCell ref="B12:G12"/>
    <mergeCell ref="B18:G18"/>
    <mergeCell ref="B26:G26"/>
    <mergeCell ref="B21:G21"/>
    <mergeCell ref="B40:G40"/>
    <mergeCell ref="B39:G39"/>
    <mergeCell ref="B15:G15"/>
    <mergeCell ref="B11:G11"/>
    <mergeCell ref="B6:G6"/>
    <mergeCell ref="B25:G25"/>
    <mergeCell ref="B38:G38"/>
    <mergeCell ref="B10:G10"/>
    <mergeCell ref="B28:G28"/>
    <mergeCell ref="B9:G9"/>
    <mergeCell ref="B31:G31"/>
    <mergeCell ref="B34:G34"/>
    <mergeCell ref="B37:G37"/>
    <mergeCell ref="B33:G33"/>
    <mergeCell ref="B14:G14"/>
    <mergeCell ref="B35:G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Raw_Data</vt:lpstr>
      <vt:lpstr>Clean_Data</vt:lpstr>
      <vt:lpstr>pivot tables</vt:lpstr>
      <vt:lpstr>Presentation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Pooja Dandwani</dc:creator>
  <cp:lastModifiedBy>Pooja Dandwani</cp:lastModifiedBy>
  <dcterms:created xsi:type="dcterms:W3CDTF">2026-05-05T03:59:16Z</dcterms:created>
  <dcterms:modified xsi:type="dcterms:W3CDTF">2026-05-10T08:34:54Z</dcterms:modified>
</cp:coreProperties>
</file>