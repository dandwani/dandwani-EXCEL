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pooja\Downloads\"/>
    </mc:Choice>
  </mc:AlternateContent>
  <xr:revisionPtr revIDLastSave="0" documentId="13_ncr:9_{7DEE6B2D-B782-4999-9389-DD0732561613}" xr6:coauthVersionLast="47" xr6:coauthVersionMax="47" xr10:uidLastSave="{00000000-0000-0000-0000-000000000000}"/>
  <bookViews>
    <workbookView xWindow="-108" yWindow="-108" windowWidth="23256" windowHeight="12456" activeTab="1" xr2:uid="{05FE0B9D-089A-4E1B-AE5A-9B1FE86C3C96}"/>
  </bookViews>
  <sheets>
    <sheet name="PIVOT" sheetId="3" r:id="rId1"/>
    <sheet name="DASHBOARD" sheetId="4" r:id="rId2"/>
    <sheet name="RegionalSales2025 (1)" sheetId="1" r:id="rId3"/>
  </sheets>
  <definedNames>
    <definedName name="SALESDATA">'RegionalSales2025 (1)'!$A$2:$K$1001</definedName>
    <definedName name="Slicer_Category">#N/A</definedName>
    <definedName name="Slicer_Region">#N/A</definedName>
    <definedName name="Slicer_SalesAgent">#N/A</definedName>
  </definedNames>
  <calcPr calcId="0"/>
  <pivotCaches>
    <pivotCache cacheId="1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4" i="4" l="1"/>
  <c r="J24" i="4"/>
  <c r="H24" i="4"/>
  <c r="I24" i="4"/>
</calcChain>
</file>

<file path=xl/sharedStrings.xml><?xml version="1.0" encoding="utf-8"?>
<sst xmlns="http://schemas.openxmlformats.org/spreadsheetml/2006/main" count="7104" uniqueCount="1405">
  <si>
    <t>OrderID</t>
  </si>
  <si>
    <t>Date</t>
  </si>
  <si>
    <t>CustomerID</t>
  </si>
  <si>
    <t>Region</t>
  </si>
  <si>
    <t>ProductName</t>
  </si>
  <si>
    <t>Category</t>
  </si>
  <si>
    <t>Quantity</t>
  </si>
  <si>
    <t>UnitPrice</t>
  </si>
  <si>
    <t>TotalAmount</t>
  </si>
  <si>
    <t>OrderStatus</t>
  </si>
  <si>
    <t>SalesAgent</t>
  </si>
  <si>
    <t>ORD000001</t>
  </si>
  <si>
    <t>CUST1279</t>
  </si>
  <si>
    <t>East</t>
  </si>
  <si>
    <t>Headphones</t>
  </si>
  <si>
    <t>Electronics</t>
  </si>
  <si>
    <t>Completed</t>
  </si>
  <si>
    <t>Agent_2</t>
  </si>
  <si>
    <t>ORD000002</t>
  </si>
  <si>
    <t>CUST1287</t>
  </si>
  <si>
    <t>Laptop</t>
  </si>
  <si>
    <t>Agent_4</t>
  </si>
  <si>
    <t>ORD000003</t>
  </si>
  <si>
    <t>CUST1081</t>
  </si>
  <si>
    <t>Football</t>
  </si>
  <si>
    <t>Sports</t>
  </si>
  <si>
    <t>Agent_12</t>
  </si>
  <si>
    <t>ORD000004</t>
  </si>
  <si>
    <t>CUST1194</t>
  </si>
  <si>
    <t>South</t>
  </si>
  <si>
    <t>T-Shirt</t>
  </si>
  <si>
    <t>Clothing</t>
  </si>
  <si>
    <t>ORD000005</t>
  </si>
  <si>
    <t>CUST1063</t>
  </si>
  <si>
    <t>Jacket</t>
  </si>
  <si>
    <t>Cancelled</t>
  </si>
  <si>
    <t>Agent_15</t>
  </si>
  <si>
    <t>ORD000006</t>
  </si>
  <si>
    <t>CUST1035</t>
  </si>
  <si>
    <t>Agent_1</t>
  </si>
  <si>
    <t>ORD000007</t>
  </si>
  <si>
    <t>CUST1325</t>
  </si>
  <si>
    <t>Agent_14</t>
  </si>
  <si>
    <t>ORD000008</t>
  </si>
  <si>
    <t>CUST1331</t>
  </si>
  <si>
    <t>Jeans</t>
  </si>
  <si>
    <t>ORD000009</t>
  </si>
  <si>
    <t>CUST1285</t>
  </si>
  <si>
    <t>Bookshelf</t>
  </si>
  <si>
    <t>Furniture</t>
  </si>
  <si>
    <t>ORD000010</t>
  </si>
  <si>
    <t>CUST1108</t>
  </si>
  <si>
    <t>Smartphone</t>
  </si>
  <si>
    <t>ORD000011</t>
  </si>
  <si>
    <t>CUST1073</t>
  </si>
  <si>
    <t>West</t>
  </si>
  <si>
    <t>Agent_5</t>
  </si>
  <si>
    <t>ORD000012</t>
  </si>
  <si>
    <t>CUST1204</t>
  </si>
  <si>
    <t>North</t>
  </si>
  <si>
    <t>Yoga Mat</t>
  </si>
  <si>
    <t>Agent_6</t>
  </si>
  <si>
    <t>ORD000013</t>
  </si>
  <si>
    <t>CUST1078</t>
  </si>
  <si>
    <t>Agent_11</t>
  </si>
  <si>
    <t>ORD000014</t>
  </si>
  <si>
    <t>CUST1270</t>
  </si>
  <si>
    <t>Tea Pack</t>
  </si>
  <si>
    <t>Grocery</t>
  </si>
  <si>
    <t>ORD000015</t>
  </si>
  <si>
    <t>CUST1057</t>
  </si>
  <si>
    <t>ORD000016</t>
  </si>
  <si>
    <t>CUST1054</t>
  </si>
  <si>
    <t>Rice Bag</t>
  </si>
  <si>
    <t>ORD000017</t>
  </si>
  <si>
    <t>CUST1271</t>
  </si>
  <si>
    <t>ORD000018</t>
  </si>
  <si>
    <t>CUST1122</t>
  </si>
  <si>
    <t>ORD000019</t>
  </si>
  <si>
    <t>CUST1064</t>
  </si>
  <si>
    <t>Cricket Bat</t>
  </si>
  <si>
    <t>Agent_3</t>
  </si>
  <si>
    <t>ORD000020</t>
  </si>
  <si>
    <t>CUST1276</t>
  </si>
  <si>
    <t>Agent_13</t>
  </si>
  <si>
    <t>ORD000021</t>
  </si>
  <si>
    <t>CUST1224</t>
  </si>
  <si>
    <t>ORD000022</t>
  </si>
  <si>
    <t>CUST1117</t>
  </si>
  <si>
    <t>Agent_10</t>
  </si>
  <si>
    <t>ORD000023</t>
  </si>
  <si>
    <t>CUST1036</t>
  </si>
  <si>
    <t>Agent_9</t>
  </si>
  <si>
    <t>ORD000024</t>
  </si>
  <si>
    <t>CUST1295</t>
  </si>
  <si>
    <t>Agent_8</t>
  </si>
  <si>
    <t>ORD000025</t>
  </si>
  <si>
    <t>CUST1216</t>
  </si>
  <si>
    <t>Cooking Oil</t>
  </si>
  <si>
    <t>Agent_7</t>
  </si>
  <si>
    <t>ORD000026</t>
  </si>
  <si>
    <t>CUST1127</t>
  </si>
  <si>
    <t>ORD000027</t>
  </si>
  <si>
    <t>CUST1226</t>
  </si>
  <si>
    <t>ORD000028</t>
  </si>
  <si>
    <t>CUST1047</t>
  </si>
  <si>
    <t>ORD000029</t>
  </si>
  <si>
    <t>CUST1030</t>
  </si>
  <si>
    <t>Office Chair</t>
  </si>
  <si>
    <t>ORD000030</t>
  </si>
  <si>
    <t>CUST1338</t>
  </si>
  <si>
    <t>ORD000031</t>
  </si>
  <si>
    <t>CUST1031</t>
  </si>
  <si>
    <t>Desk</t>
  </si>
  <si>
    <t>ORD000032</t>
  </si>
  <si>
    <t>CUST1260</t>
  </si>
  <si>
    <t>Smartwatch</t>
  </si>
  <si>
    <t>ORD000033</t>
  </si>
  <si>
    <t>CUST1126</t>
  </si>
  <si>
    <t>ORD000034</t>
  </si>
  <si>
    <t>CUST1133</t>
  </si>
  <si>
    <t>ORD000035</t>
  </si>
  <si>
    <t>CUST1234</t>
  </si>
  <si>
    <t>ORD000036</t>
  </si>
  <si>
    <t>CUST1037</t>
  </si>
  <si>
    <t>ORD000037</t>
  </si>
  <si>
    <t>CUST1145</t>
  </si>
  <si>
    <t>ORD000038</t>
  </si>
  <si>
    <t>Returned</t>
  </si>
  <si>
    <t>ORD000039</t>
  </si>
  <si>
    <t>ORD000040</t>
  </si>
  <si>
    <t>CUST1324</t>
  </si>
  <si>
    <t>ORD000041</t>
  </si>
  <si>
    <t>CUST1022</t>
  </si>
  <si>
    <t>ORD000042</t>
  </si>
  <si>
    <t>CUST1218</t>
  </si>
  <si>
    <t>ORD000043</t>
  </si>
  <si>
    <t>CUST1075</t>
  </si>
  <si>
    <t>ORD000044</t>
  </si>
  <si>
    <t>CUST1341</t>
  </si>
  <si>
    <t>ORD000045</t>
  </si>
  <si>
    <t>CUST1083</t>
  </si>
  <si>
    <t>ORD000046</t>
  </si>
  <si>
    <t>CUST1342</t>
  </si>
  <si>
    <t>ORD000047</t>
  </si>
  <si>
    <t>CUST1240</t>
  </si>
  <si>
    <t>ORD000048</t>
  </si>
  <si>
    <t>CUST1012</t>
  </si>
  <si>
    <t>ORD000049</t>
  </si>
  <si>
    <t>ORD000050</t>
  </si>
  <si>
    <t>CUST1297</t>
  </si>
  <si>
    <t>ORD000051</t>
  </si>
  <si>
    <t>CUST1261</t>
  </si>
  <si>
    <t>ORD000052</t>
  </si>
  <si>
    <t>CUST1275</t>
  </si>
  <si>
    <t>ORD000053</t>
  </si>
  <si>
    <t>CUST1319</t>
  </si>
  <si>
    <t>ORD000054</t>
  </si>
  <si>
    <t>CUST1151</t>
  </si>
  <si>
    <t>ORD000055</t>
  </si>
  <si>
    <t>CUST1291</t>
  </si>
  <si>
    <t>ORD000056</t>
  </si>
  <si>
    <t>CUST1335</t>
  </si>
  <si>
    <t>ORD000057</t>
  </si>
  <si>
    <t>CUST1337</t>
  </si>
  <si>
    <t>ORD000058</t>
  </si>
  <si>
    <t>CUST1158</t>
  </si>
  <si>
    <t>ORD000059</t>
  </si>
  <si>
    <t>CUST1233</t>
  </si>
  <si>
    <t>ORD000060</t>
  </si>
  <si>
    <t>CUST1002</t>
  </si>
  <si>
    <t>ORD000061</t>
  </si>
  <si>
    <t>CUST1237</t>
  </si>
  <si>
    <t>ORD000062</t>
  </si>
  <si>
    <t>CUST1304</t>
  </si>
  <si>
    <t>ORD000063</t>
  </si>
  <si>
    <t>ORD000064</t>
  </si>
  <si>
    <t>CUST1248</t>
  </si>
  <si>
    <t>ORD000065</t>
  </si>
  <si>
    <t>CUST1041</t>
  </si>
  <si>
    <t>ORD000066</t>
  </si>
  <si>
    <t>CUST1169</t>
  </si>
  <si>
    <t>ORD000067</t>
  </si>
  <si>
    <t>CUST1010</t>
  </si>
  <si>
    <t>ORD000068</t>
  </si>
  <si>
    <t>CUST1214</t>
  </si>
  <si>
    <t>ORD000069</t>
  </si>
  <si>
    <t>CUST1014</t>
  </si>
  <si>
    <t>ORD000070</t>
  </si>
  <si>
    <t>CUST1273</t>
  </si>
  <si>
    <t>ORD000071</t>
  </si>
  <si>
    <t>CUST1093</t>
  </si>
  <si>
    <t>ORD000072</t>
  </si>
  <si>
    <t>CUST1142</t>
  </si>
  <si>
    <t>ORD000073</t>
  </si>
  <si>
    <t>CUST1179</t>
  </si>
  <si>
    <t>ORD000074</t>
  </si>
  <si>
    <t>ORD000075</t>
  </si>
  <si>
    <t>CUST1310</t>
  </si>
  <si>
    <t>ORD000076</t>
  </si>
  <si>
    <t>CUST1294</t>
  </si>
  <si>
    <t>ORD000077</t>
  </si>
  <si>
    <t>CUST1124</t>
  </si>
  <si>
    <t>ORD000078</t>
  </si>
  <si>
    <t>CUST1021</t>
  </si>
  <si>
    <t>ORD000079</t>
  </si>
  <si>
    <t>CUST1250</t>
  </si>
  <si>
    <t>ORD000080</t>
  </si>
  <si>
    <t>CUST1333</t>
  </si>
  <si>
    <t>ORD000081</t>
  </si>
  <si>
    <t>CUST1165</t>
  </si>
  <si>
    <t>ORD000082</t>
  </si>
  <si>
    <t>ORD000083</t>
  </si>
  <si>
    <t>CUST1174</t>
  </si>
  <si>
    <t>ORD000084</t>
  </si>
  <si>
    <t>CUST1208</t>
  </si>
  <si>
    <t>ORD000085</t>
  </si>
  <si>
    <t>ORD000086</t>
  </si>
  <si>
    <t>CUST1217</t>
  </si>
  <si>
    <t>ORD000087</t>
  </si>
  <si>
    <t>CUST1098</t>
  </si>
  <si>
    <t>ORD000088</t>
  </si>
  <si>
    <t>CUST1301</t>
  </si>
  <si>
    <t>ORD000089</t>
  </si>
  <si>
    <t>CUST1007</t>
  </si>
  <si>
    <t>ORD000090</t>
  </si>
  <si>
    <t>CUST1326</t>
  </si>
  <si>
    <t>ORD000091</t>
  </si>
  <si>
    <t>CUST1094</t>
  </si>
  <si>
    <t>ORD000092</t>
  </si>
  <si>
    <t>CUST1027</t>
  </si>
  <si>
    <t>ORD000093</t>
  </si>
  <si>
    <t>ORD000094</t>
  </si>
  <si>
    <t>CUST1219</t>
  </si>
  <si>
    <t>ORD000095</t>
  </si>
  <si>
    <t>CUST1080</t>
  </si>
  <si>
    <t>ORD000096</t>
  </si>
  <si>
    <t>CUST1149</t>
  </si>
  <si>
    <t>ORD000097</t>
  </si>
  <si>
    <t>CUST1320</t>
  </si>
  <si>
    <t>ORD000098</t>
  </si>
  <si>
    <t>CUST1072</t>
  </si>
  <si>
    <t>ORD000099</t>
  </si>
  <si>
    <t>CUST1155</t>
  </si>
  <si>
    <t>ORD000100</t>
  </si>
  <si>
    <t>CUST1221</t>
  </si>
  <si>
    <t>ORD000101</t>
  </si>
  <si>
    <t>CUST1300</t>
  </si>
  <si>
    <t>ORD000102</t>
  </si>
  <si>
    <t>ORD000103</t>
  </si>
  <si>
    <t>ORD000104</t>
  </si>
  <si>
    <t>CUST1253</t>
  </si>
  <si>
    <t>ORD000105</t>
  </si>
  <si>
    <t>CUST1059</t>
  </si>
  <si>
    <t>ORD000106</t>
  </si>
  <si>
    <t>CUST1185</t>
  </si>
  <si>
    <t>ORD000107</t>
  </si>
  <si>
    <t>ORD000108</t>
  </si>
  <si>
    <t>CUST1282</t>
  </si>
  <si>
    <t>ORD000109</t>
  </si>
  <si>
    <t>CUST1255</t>
  </si>
  <si>
    <t>ORD000110</t>
  </si>
  <si>
    <t>ORD000111</t>
  </si>
  <si>
    <t>CUST1141</t>
  </si>
  <si>
    <t>ORD000112</t>
  </si>
  <si>
    <t>ORD000113</t>
  </si>
  <si>
    <t>CUST1278</t>
  </si>
  <si>
    <t>ORD000114</t>
  </si>
  <si>
    <t>ORD000115</t>
  </si>
  <si>
    <t>CUST1302</t>
  </si>
  <si>
    <t>ORD000116</t>
  </si>
  <si>
    <t>CUST1209</t>
  </si>
  <si>
    <t>ORD000117</t>
  </si>
  <si>
    <t>CUST1203</t>
  </si>
  <si>
    <t>ORD000118</t>
  </si>
  <si>
    <t>CUST1277</t>
  </si>
  <si>
    <t>ORD000119</t>
  </si>
  <si>
    <t>CUST1050</t>
  </si>
  <si>
    <t>ORD000120</t>
  </si>
  <si>
    <t>CUST1166</t>
  </si>
  <si>
    <t>ORD000121</t>
  </si>
  <si>
    <t>CUST1349</t>
  </si>
  <si>
    <t>ORD000122</t>
  </si>
  <si>
    <t>CUST1254</t>
  </si>
  <si>
    <t>ORD000123</t>
  </si>
  <si>
    <t>CUST1147</t>
  </si>
  <si>
    <t>ORD000124</t>
  </si>
  <si>
    <t>CUST1128</t>
  </si>
  <si>
    <t>ORD000125</t>
  </si>
  <si>
    <t>ORD000126</t>
  </si>
  <si>
    <t>CUST1025</t>
  </si>
  <si>
    <t>ORD000127</t>
  </si>
  <si>
    <t>CUST1097</t>
  </si>
  <si>
    <t>ORD000128</t>
  </si>
  <si>
    <t>CUST1225</t>
  </si>
  <si>
    <t>ORD000129</t>
  </si>
  <si>
    <t>CUST1067</t>
  </si>
  <si>
    <t>ORD000130</t>
  </si>
  <si>
    <t>CUST1246</t>
  </si>
  <si>
    <t>ORD000131</t>
  </si>
  <si>
    <t>CUST1346</t>
  </si>
  <si>
    <t>ORD000132</t>
  </si>
  <si>
    <t>CUST1274</t>
  </si>
  <si>
    <t>ORD000133</t>
  </si>
  <si>
    <t>CUST1345</t>
  </si>
  <si>
    <t>ORD000134</t>
  </si>
  <si>
    <t>ORD000135</t>
  </si>
  <si>
    <t>ORD000136</t>
  </si>
  <si>
    <t>ORD000137</t>
  </si>
  <si>
    <t>CUST1016</t>
  </si>
  <si>
    <t>ORD000138</t>
  </si>
  <si>
    <t>CUST1188</t>
  </si>
  <si>
    <t>ORD000139</t>
  </si>
  <si>
    <t>CUST1046</t>
  </si>
  <si>
    <t>ORD000140</t>
  </si>
  <si>
    <t>CUST1289</t>
  </si>
  <si>
    <t>ORD000141</t>
  </si>
  <si>
    <t>ORD000142</t>
  </si>
  <si>
    <t>CUST1056</t>
  </si>
  <si>
    <t>ORD000143</t>
  </si>
  <si>
    <t>CUST1008</t>
  </si>
  <si>
    <t>ORD000144</t>
  </si>
  <si>
    <t>CUST1229</t>
  </si>
  <si>
    <t>ORD000145</t>
  </si>
  <si>
    <t>ORD000146</t>
  </si>
  <si>
    <t>CUST1251</t>
  </si>
  <si>
    <t>ORD000147</t>
  </si>
  <si>
    <t>ORD000148</t>
  </si>
  <si>
    <t>CUST1220</t>
  </si>
  <si>
    <t>ORD000149</t>
  </si>
  <si>
    <t>CUST1232</t>
  </si>
  <si>
    <t>ORD000150</t>
  </si>
  <si>
    <t>CUST1242</t>
  </si>
  <si>
    <t>ORD000151</t>
  </si>
  <si>
    <t>CUST1284</t>
  </si>
  <si>
    <t>ORD000152</t>
  </si>
  <si>
    <t>ORD000153</t>
  </si>
  <si>
    <t>ORD000154</t>
  </si>
  <si>
    <t>CUST1293</t>
  </si>
  <si>
    <t>ORD000155</t>
  </si>
  <si>
    <t>CUST1336</t>
  </si>
  <si>
    <t>ORD000156</t>
  </si>
  <si>
    <t>ORD000157</t>
  </si>
  <si>
    <t>ORD000158</t>
  </si>
  <si>
    <t>CUST1290</t>
  </si>
  <si>
    <t>ORD000159</t>
  </si>
  <si>
    <t>CUST1139</t>
  </si>
  <si>
    <t>ORD000160</t>
  </si>
  <si>
    <t>CUST1058</t>
  </si>
  <si>
    <t>ORD000161</t>
  </si>
  <si>
    <t>CUST1112</t>
  </si>
  <si>
    <t>ORD000162</t>
  </si>
  <si>
    <t>CUST1130</t>
  </si>
  <si>
    <t>ORD000163</t>
  </si>
  <si>
    <t>ORD000164</t>
  </si>
  <si>
    <t>CUST1235</t>
  </si>
  <si>
    <t>ORD000165</t>
  </si>
  <si>
    <t>CUST1148</t>
  </si>
  <si>
    <t>ORD000166</t>
  </si>
  <si>
    <t>CUST1045</t>
  </si>
  <si>
    <t>ORD000167</t>
  </si>
  <si>
    <t>CUST1173</t>
  </si>
  <si>
    <t>ORD000168</t>
  </si>
  <si>
    <t>CUST1178</t>
  </si>
  <si>
    <t>ORD000169</t>
  </si>
  <si>
    <t>ORD000170</t>
  </si>
  <si>
    <t>ORD000171</t>
  </si>
  <si>
    <t>CUST1077</t>
  </si>
  <si>
    <t>ORD000172</t>
  </si>
  <si>
    <t>CUST1259</t>
  </si>
  <si>
    <t>ORD000173</t>
  </si>
  <si>
    <t>ORD000174</t>
  </si>
  <si>
    <t>CUST1230</t>
  </si>
  <si>
    <t>ORD000175</t>
  </si>
  <si>
    <t>ORD000176</t>
  </si>
  <si>
    <t>ORD000177</t>
  </si>
  <si>
    <t>ORD000178</t>
  </si>
  <si>
    <t>CUST1129</t>
  </si>
  <si>
    <t>ORD000179</t>
  </si>
  <si>
    <t>ORD000180</t>
  </si>
  <si>
    <t>CUST1192</t>
  </si>
  <si>
    <t>ORD000181</t>
  </si>
  <si>
    <t>ORD000182</t>
  </si>
  <si>
    <t>CUST1070</t>
  </si>
  <si>
    <t>ORD000183</t>
  </si>
  <si>
    <t>ORD000184</t>
  </si>
  <si>
    <t>CUST1227</t>
  </si>
  <si>
    <t>ORD000185</t>
  </si>
  <si>
    <t>CUST1099</t>
  </si>
  <si>
    <t>ORD000186</t>
  </si>
  <si>
    <t>ORD000187</t>
  </si>
  <si>
    <t>CUST1190</t>
  </si>
  <si>
    <t>ORD000188</t>
  </si>
  <si>
    <t>CUST1262</t>
  </si>
  <si>
    <t>ORD000189</t>
  </si>
  <si>
    <t>ORD000190</t>
  </si>
  <si>
    <t>CUST1332</t>
  </si>
  <si>
    <t>ORD000191</t>
  </si>
  <si>
    <t>ORD000192</t>
  </si>
  <si>
    <t>ORD000193</t>
  </si>
  <si>
    <t>CUST1318</t>
  </si>
  <si>
    <t>ORD000194</t>
  </si>
  <si>
    <t>ORD000195</t>
  </si>
  <si>
    <t>CUST1043</t>
  </si>
  <si>
    <t>ORD000196</t>
  </si>
  <si>
    <t>CUST1191</t>
  </si>
  <si>
    <t>ORD000197</t>
  </si>
  <si>
    <t>ORD000198</t>
  </si>
  <si>
    <t>ORD000199</t>
  </si>
  <si>
    <t>CUST1150</t>
  </si>
  <si>
    <t>ORD000200</t>
  </si>
  <si>
    <t>ORD000201</t>
  </si>
  <si>
    <t>ORD000202</t>
  </si>
  <si>
    <t>ORD000203</t>
  </si>
  <si>
    <t>CUST1040</t>
  </si>
  <si>
    <t>ORD000204</t>
  </si>
  <si>
    <t>ORD000205</t>
  </si>
  <si>
    <t>CUST1314</t>
  </si>
  <si>
    <t>ORD000206</t>
  </si>
  <si>
    <t>ORD000207</t>
  </si>
  <si>
    <t>CUST1187</t>
  </si>
  <si>
    <t>ORD000208</t>
  </si>
  <si>
    <t>ORD000209</t>
  </si>
  <si>
    <t>ORD000210</t>
  </si>
  <si>
    <t>ORD000211</t>
  </si>
  <si>
    <t>CUST1231</t>
  </si>
  <si>
    <t>ORD000212</t>
  </si>
  <si>
    <t>ORD000213</t>
  </si>
  <si>
    <t>CUST1102</t>
  </si>
  <si>
    <t>ORD000214</t>
  </si>
  <si>
    <t>CUST1066</t>
  </si>
  <si>
    <t>ORD000215</t>
  </si>
  <si>
    <t>CUST1210</t>
  </si>
  <si>
    <t>ORD000216</t>
  </si>
  <si>
    <t>CUST1238</t>
  </si>
  <si>
    <t>ORD000217</t>
  </si>
  <si>
    <t>CUST1257</t>
  </si>
  <si>
    <t>ORD000218</t>
  </si>
  <si>
    <t>CUST1115</t>
  </si>
  <si>
    <t>ORD000219</t>
  </si>
  <si>
    <t>CUST1140</t>
  </si>
  <si>
    <t>ORD000220</t>
  </si>
  <si>
    <t>ORD000221</t>
  </si>
  <si>
    <t>CUST1023</t>
  </si>
  <si>
    <t>ORD000222</t>
  </si>
  <si>
    <t>CUST1015</t>
  </si>
  <si>
    <t>ORD000223</t>
  </si>
  <si>
    <t>CUST1207</t>
  </si>
  <si>
    <t>ORD000224</t>
  </si>
  <si>
    <t>ORD000225</t>
  </si>
  <si>
    <t>CUST1263</t>
  </si>
  <si>
    <t>ORD000226</t>
  </si>
  <si>
    <t>ORD000227</t>
  </si>
  <si>
    <t>ORD000228</t>
  </si>
  <si>
    <t>CUST1011</t>
  </si>
  <si>
    <t>ORD000229</t>
  </si>
  <si>
    <t>CUST1144</t>
  </si>
  <si>
    <t>ORD000230</t>
  </si>
  <si>
    <t>CUST1135</t>
  </si>
  <si>
    <t>ORD000231</t>
  </si>
  <si>
    <t>ORD000232</t>
  </si>
  <si>
    <t>CUST1348</t>
  </si>
  <si>
    <t>ORD000233</t>
  </si>
  <si>
    <t>ORD000234</t>
  </si>
  <si>
    <t>ORD000235</t>
  </si>
  <si>
    <t>CUST1201</t>
  </si>
  <si>
    <t>ORD000236</t>
  </si>
  <si>
    <t>CUST1288</t>
  </si>
  <si>
    <t>ORD000237</t>
  </si>
  <si>
    <t>CUST1157</t>
  </si>
  <si>
    <t>ORD000238</t>
  </si>
  <si>
    <t>ORD000239</t>
  </si>
  <si>
    <t>ORD000240</t>
  </si>
  <si>
    <t>CUST1211</t>
  </si>
  <si>
    <t>ORD000241</t>
  </si>
  <si>
    <t>ORD000242</t>
  </si>
  <si>
    <t>ORD000243</t>
  </si>
  <si>
    <t>ORD000244</t>
  </si>
  <si>
    <t>ORD000245</t>
  </si>
  <si>
    <t>CUST1176</t>
  </si>
  <si>
    <t>ORD000246</t>
  </si>
  <si>
    <t>ORD000247</t>
  </si>
  <si>
    <t>ORD000248</t>
  </si>
  <si>
    <t>ORD000249</t>
  </si>
  <si>
    <t>CUST1281</t>
  </si>
  <si>
    <t>ORD000250</t>
  </si>
  <si>
    <t>CUST1330</t>
  </si>
  <si>
    <t>ORD000251</t>
  </si>
  <si>
    <t>CUST1089</t>
  </si>
  <si>
    <t>ORD000252</t>
  </si>
  <si>
    <t>CUST1019</t>
  </si>
  <si>
    <t>ORD000253</t>
  </si>
  <si>
    <t>CUST1268</t>
  </si>
  <si>
    <t>ORD000254</t>
  </si>
  <si>
    <t>ORD000255</t>
  </si>
  <si>
    <t>ORD000256</t>
  </si>
  <si>
    <t>CUST1205</t>
  </si>
  <si>
    <t>ORD000257</t>
  </si>
  <si>
    <t>CUST1120</t>
  </si>
  <si>
    <t>ORD000258</t>
  </si>
  <si>
    <t>CUST1184</t>
  </si>
  <si>
    <t>ORD000259</t>
  </si>
  <si>
    <t>CUST1159</t>
  </si>
  <si>
    <t>ORD000260</t>
  </si>
  <si>
    <t>ORD000261</t>
  </si>
  <si>
    <t>CUST1340</t>
  </si>
  <si>
    <t>ORD000262</t>
  </si>
  <si>
    <t>ORD000263</t>
  </si>
  <si>
    <t>ORD000264</t>
  </si>
  <si>
    <t>ORD000265</t>
  </si>
  <si>
    <t>CUST1029</t>
  </si>
  <si>
    <t>ORD000266</t>
  </si>
  <si>
    <t>CUST1296</t>
  </si>
  <si>
    <t>ORD000267</t>
  </si>
  <si>
    <t>CUST1241</t>
  </si>
  <si>
    <t>ORD000268</t>
  </si>
  <si>
    <t>CUST1193</t>
  </si>
  <si>
    <t>ORD000269</t>
  </si>
  <si>
    <t>ORD000270</t>
  </si>
  <si>
    <t>ORD000271</t>
  </si>
  <si>
    <t>ORD000272</t>
  </si>
  <si>
    <t>CUST1228</t>
  </si>
  <si>
    <t>ORD000273</t>
  </si>
  <si>
    <t>CUST1028</t>
  </si>
  <si>
    <t>ORD000274</t>
  </si>
  <si>
    <t>CUST1164</t>
  </si>
  <si>
    <t>ORD000275</t>
  </si>
  <si>
    <t>ORD000276</t>
  </si>
  <si>
    <t>CUST1329</t>
  </si>
  <si>
    <t>ORD000277</t>
  </si>
  <si>
    <t>ORD000278</t>
  </si>
  <si>
    <t>ORD000279</t>
  </si>
  <si>
    <t>ORD000280</t>
  </si>
  <si>
    <t>CUST1308</t>
  </si>
  <si>
    <t>ORD000281</t>
  </si>
  <si>
    <t>ORD000282</t>
  </si>
  <si>
    <t>CUST1309</t>
  </si>
  <si>
    <t>ORD000283</t>
  </si>
  <si>
    <t>ORD000284</t>
  </si>
  <si>
    <t>CUST1163</t>
  </si>
  <si>
    <t>ORD000285</t>
  </si>
  <si>
    <t>ORD000286</t>
  </si>
  <si>
    <t>ORD000287</t>
  </si>
  <si>
    <t>ORD000288</t>
  </si>
  <si>
    <t>CUST1328</t>
  </si>
  <si>
    <t>ORD000289</t>
  </si>
  <si>
    <t>CUST1034</t>
  </si>
  <si>
    <t>ORD000290</t>
  </si>
  <si>
    <t>CUST1315</t>
  </si>
  <si>
    <t>ORD000291</t>
  </si>
  <si>
    <t>ORD000292</t>
  </si>
  <si>
    <t>ORD000293</t>
  </si>
  <si>
    <t>CUST1136</t>
  </si>
  <si>
    <t>ORD000294</t>
  </si>
  <si>
    <t>CUST1153</t>
  </si>
  <si>
    <t>ORD000295</t>
  </si>
  <si>
    <t>ORD000296</t>
  </si>
  <si>
    <t>ORD000297</t>
  </si>
  <si>
    <t>CUST1243</t>
  </si>
  <si>
    <t>ORD000298</t>
  </si>
  <si>
    <t>ORD000299</t>
  </si>
  <si>
    <t>ORD000300</t>
  </si>
  <si>
    <t>CUST1256</t>
  </si>
  <si>
    <t>ORD000301</t>
  </si>
  <si>
    <t>ORD000302</t>
  </si>
  <si>
    <t>CUST1182</t>
  </si>
  <si>
    <t>ORD000303</t>
  </si>
  <si>
    <t>ORD000304</t>
  </si>
  <si>
    <t>ORD000305</t>
  </si>
  <si>
    <t>CUST1138</t>
  </si>
  <si>
    <t>ORD000306</t>
  </si>
  <si>
    <t>CUST1013</t>
  </si>
  <si>
    <t>ORD000307</t>
  </si>
  <si>
    <t>CUST1286</t>
  </si>
  <si>
    <t>ORD000308</t>
  </si>
  <si>
    <t>CUST1137</t>
  </si>
  <si>
    <t>ORD000309</t>
  </si>
  <si>
    <t>CUST1039</t>
  </si>
  <si>
    <t>ORD000310</t>
  </si>
  <si>
    <t>CUST1069</t>
  </si>
  <si>
    <t>ORD000311</t>
  </si>
  <si>
    <t>CUST1171</t>
  </si>
  <si>
    <t>ORD000312</t>
  </si>
  <si>
    <t>CUST1245</t>
  </si>
  <si>
    <t>ORD000313</t>
  </si>
  <si>
    <t>ORD000314</t>
  </si>
  <si>
    <t>CUST1092</t>
  </si>
  <si>
    <t>ORD000315</t>
  </si>
  <si>
    <t>ORD000316</t>
  </si>
  <si>
    <t>ORD000317</t>
  </si>
  <si>
    <t>ORD000318</t>
  </si>
  <si>
    <t>ORD000319</t>
  </si>
  <si>
    <t>ORD000320</t>
  </si>
  <si>
    <t>CUST1265</t>
  </si>
  <si>
    <t>ORD000321</t>
  </si>
  <si>
    <t>ORD000322</t>
  </si>
  <si>
    <t>ORD000323</t>
  </si>
  <si>
    <t>CUST1247</t>
  </si>
  <si>
    <t>ORD000324</t>
  </si>
  <si>
    <t>ORD000325</t>
  </si>
  <si>
    <t>ORD000326</t>
  </si>
  <si>
    <t>ORD000327</t>
  </si>
  <si>
    <t>CUST1105</t>
  </si>
  <si>
    <t>ORD000328</t>
  </si>
  <si>
    <t>ORD000329</t>
  </si>
  <si>
    <t>ORD000330</t>
  </si>
  <si>
    <t>ORD000331</t>
  </si>
  <si>
    <t>ORD000332</t>
  </si>
  <si>
    <t>ORD000333</t>
  </si>
  <si>
    <t>ORD000334</t>
  </si>
  <si>
    <t>CUST1258</t>
  </si>
  <si>
    <t>ORD000335</t>
  </si>
  <si>
    <t>ORD000336</t>
  </si>
  <si>
    <t>ORD000337</t>
  </si>
  <si>
    <t>ORD000338</t>
  </si>
  <si>
    <t>CUST1134</t>
  </si>
  <si>
    <t>ORD000339</t>
  </si>
  <si>
    <t>ORD000340</t>
  </si>
  <si>
    <t>ORD000341</t>
  </si>
  <si>
    <t>ORD000342</t>
  </si>
  <si>
    <t>ORD000343</t>
  </si>
  <si>
    <t>ORD000344</t>
  </si>
  <si>
    <t>ORD000345</t>
  </si>
  <si>
    <t>ORD000346</t>
  </si>
  <si>
    <t>ORD000347</t>
  </si>
  <si>
    <t>CUST1280</t>
  </si>
  <si>
    <t>ORD000348</t>
  </si>
  <si>
    <t>ORD000349</t>
  </si>
  <si>
    <t>ORD000350</t>
  </si>
  <si>
    <t>ORD000351</t>
  </si>
  <si>
    <t>ORD000352</t>
  </si>
  <si>
    <t>ORD000353</t>
  </si>
  <si>
    <t>CUST1196</t>
  </si>
  <si>
    <t>ORD000354</t>
  </si>
  <si>
    <t>CUST1068</t>
  </si>
  <si>
    <t>ORD000355</t>
  </si>
  <si>
    <t>ORD000356</t>
  </si>
  <si>
    <t>CUST1051</t>
  </si>
  <si>
    <t>ORD000357</t>
  </si>
  <si>
    <t>ORD000358</t>
  </si>
  <si>
    <t>ORD000359</t>
  </si>
  <si>
    <t>ORD000360</t>
  </si>
  <si>
    <t>ORD000361</t>
  </si>
  <si>
    <t>CUST1215</t>
  </si>
  <si>
    <t>ORD000362</t>
  </si>
  <si>
    <t>CUST1110</t>
  </si>
  <si>
    <t>ORD000363</t>
  </si>
  <si>
    <t>ORD000364</t>
  </si>
  <si>
    <t>ORD000365</t>
  </si>
  <si>
    <t>ORD000366</t>
  </si>
  <si>
    <t>ORD000367</t>
  </si>
  <si>
    <t>CUST1005</t>
  </si>
  <si>
    <t>ORD000368</t>
  </si>
  <si>
    <t>ORD000369</t>
  </si>
  <si>
    <t>ORD000370</t>
  </si>
  <si>
    <t>ORD000371</t>
  </si>
  <si>
    <t>ORD000372</t>
  </si>
  <si>
    <t>CUST1076</t>
  </si>
  <si>
    <t>ORD000373</t>
  </si>
  <si>
    <t>ORD000374</t>
  </si>
  <si>
    <t>CUST1264</t>
  </si>
  <si>
    <t>ORD000375</t>
  </si>
  <si>
    <t>CUST1283</t>
  </si>
  <si>
    <t>ORD000376</t>
  </si>
  <si>
    <t>ORD000377</t>
  </si>
  <si>
    <t>ORD000378</t>
  </si>
  <si>
    <t>ORD000379</t>
  </si>
  <si>
    <t>ORD000380</t>
  </si>
  <si>
    <t>ORD000381</t>
  </si>
  <si>
    <t>CUST1303</t>
  </si>
  <si>
    <t>ORD000382</t>
  </si>
  <si>
    <t>CUST1167</t>
  </si>
  <si>
    <t>ORD000383</t>
  </si>
  <si>
    <t>CUST1079</t>
  </si>
  <si>
    <t>ORD000384</t>
  </si>
  <si>
    <t>ORD000385</t>
  </si>
  <si>
    <t>ORD000386</t>
  </si>
  <si>
    <t>ORD000387</t>
  </si>
  <si>
    <t>ORD000388</t>
  </si>
  <si>
    <t>ORD000389</t>
  </si>
  <si>
    <t>ORD000390</t>
  </si>
  <si>
    <t>CUST1062</t>
  </si>
  <si>
    <t>ORD000391</t>
  </si>
  <si>
    <t>ORD000392</t>
  </si>
  <si>
    <t>ORD000393</t>
  </si>
  <si>
    <t>ORD000394</t>
  </si>
  <si>
    <t>CUST1322</t>
  </si>
  <si>
    <t>ORD000395</t>
  </si>
  <si>
    <t>ORD000396</t>
  </si>
  <si>
    <t>ORD000397</t>
  </si>
  <si>
    <t>ORD000398</t>
  </si>
  <si>
    <t>CUST1198</t>
  </si>
  <si>
    <t>ORD000399</t>
  </si>
  <si>
    <t>CUST1183</t>
  </si>
  <si>
    <t>ORD000400</t>
  </si>
  <si>
    <t>ORD000401</t>
  </si>
  <si>
    <t>CUST1244</t>
  </si>
  <si>
    <t>ORD000402</t>
  </si>
  <si>
    <t>ORD000403</t>
  </si>
  <si>
    <t>CUST1339</t>
  </si>
  <si>
    <t>ORD000404</t>
  </si>
  <si>
    <t>CUST1327</t>
  </si>
  <si>
    <t>ORD000405</t>
  </si>
  <si>
    <t>CUST1114</t>
  </si>
  <si>
    <t>ORD000406</t>
  </si>
  <si>
    <t>CUST1000</t>
  </si>
  <si>
    <t>ORD000407</t>
  </si>
  <si>
    <t>CUST1113</t>
  </si>
  <si>
    <t>ORD000408</t>
  </si>
  <si>
    <t>CUST1085</t>
  </si>
  <si>
    <t>ORD000409</t>
  </si>
  <si>
    <t>ORD000410</t>
  </si>
  <si>
    <t>ORD000411</t>
  </si>
  <si>
    <t>ORD000412</t>
  </si>
  <si>
    <t>ORD000413</t>
  </si>
  <si>
    <t>ORD000414</t>
  </si>
  <si>
    <t>CUST1334</t>
  </si>
  <si>
    <t>ORD000415</t>
  </si>
  <si>
    <t>ORD000416</t>
  </si>
  <si>
    <t>CUST1292</t>
  </si>
  <si>
    <t>ORD000417</t>
  </si>
  <si>
    <t>ORD000418</t>
  </si>
  <si>
    <t>ORD000419</t>
  </si>
  <si>
    <t>ORD000420</t>
  </si>
  <si>
    <t>ORD000421</t>
  </si>
  <si>
    <t>ORD000422</t>
  </si>
  <si>
    <t>ORD000423</t>
  </si>
  <si>
    <t>ORD000424</t>
  </si>
  <si>
    <t>CUST1088</t>
  </si>
  <si>
    <t>ORD000425</t>
  </si>
  <si>
    <t>CUST1103</t>
  </si>
  <si>
    <t>ORD000426</t>
  </si>
  <si>
    <t>CUST1044</t>
  </si>
  <si>
    <t>ORD000427</t>
  </si>
  <si>
    <t>ORD000428</t>
  </si>
  <si>
    <t>ORD000429</t>
  </si>
  <si>
    <t>ORD000430</t>
  </si>
  <si>
    <t>CUST1311</t>
  </si>
  <si>
    <t>ORD000431</t>
  </si>
  <si>
    <t>ORD000432</t>
  </si>
  <si>
    <t>ORD000433</t>
  </si>
  <si>
    <t>ORD000434</t>
  </si>
  <si>
    <t>ORD000435</t>
  </si>
  <si>
    <t>ORD000436</t>
  </si>
  <si>
    <t>CUST1101</t>
  </si>
  <si>
    <t>ORD000437</t>
  </si>
  <si>
    <t>CUST1123</t>
  </si>
  <si>
    <t>ORD000438</t>
  </si>
  <si>
    <t>CUST1132</t>
  </si>
  <si>
    <t>ORD000439</t>
  </si>
  <si>
    <t>CUST1109</t>
  </si>
  <si>
    <t>ORD000440</t>
  </si>
  <si>
    <t>ORD000441</t>
  </si>
  <si>
    <t>ORD000442</t>
  </si>
  <si>
    <t>ORD000443</t>
  </si>
  <si>
    <t>ORD000444</t>
  </si>
  <si>
    <t>ORD000445</t>
  </si>
  <si>
    <t>ORD000446</t>
  </si>
  <si>
    <t>ORD000447</t>
  </si>
  <si>
    <t>ORD000448</t>
  </si>
  <si>
    <t>ORD000449</t>
  </si>
  <si>
    <t>ORD000450</t>
  </si>
  <si>
    <t>ORD000451</t>
  </si>
  <si>
    <t>ORD000452</t>
  </si>
  <si>
    <t>CUST1061</t>
  </si>
  <si>
    <t>ORD000453</t>
  </si>
  <si>
    <t>ORD000454</t>
  </si>
  <si>
    <t>CUST1249</t>
  </si>
  <si>
    <t>ORD000455</t>
  </si>
  <si>
    <t>ORD000456</t>
  </si>
  <si>
    <t>ORD000457</t>
  </si>
  <si>
    <t>ORD000458</t>
  </si>
  <si>
    <t>ORD000459</t>
  </si>
  <si>
    <t>CUST1172</t>
  </si>
  <si>
    <t>ORD000460</t>
  </si>
  <si>
    <t>CUST1009</t>
  </si>
  <si>
    <t>ORD000461</t>
  </si>
  <si>
    <t>ORD000462</t>
  </si>
  <si>
    <t>CUST1055</t>
  </si>
  <si>
    <t>ORD000463</t>
  </si>
  <si>
    <t>ORD000464</t>
  </si>
  <si>
    <t>ORD000465</t>
  </si>
  <si>
    <t>ORD000466</t>
  </si>
  <si>
    <t>ORD000467</t>
  </si>
  <si>
    <t>ORD000468</t>
  </si>
  <si>
    <t>CUST1038</t>
  </si>
  <si>
    <t>ORD000469</t>
  </si>
  <si>
    <t>ORD000470</t>
  </si>
  <si>
    <t>ORD000471</t>
  </si>
  <si>
    <t>ORD000472</t>
  </si>
  <si>
    <t>ORD000473</t>
  </si>
  <si>
    <t>ORD000474</t>
  </si>
  <si>
    <t>ORD000475</t>
  </si>
  <si>
    <t>CUST1032</t>
  </si>
  <si>
    <t>ORD000476</t>
  </si>
  <si>
    <t>CUST1048</t>
  </si>
  <si>
    <t>ORD000477</t>
  </si>
  <si>
    <t>ORD000478</t>
  </si>
  <si>
    <t>CUST1084</t>
  </si>
  <si>
    <t>ORD000479</t>
  </si>
  <si>
    <t>ORD000480</t>
  </si>
  <si>
    <t>ORD000481</t>
  </si>
  <si>
    <t>ORD000482</t>
  </si>
  <si>
    <t>CUST1343</t>
  </si>
  <si>
    <t>ORD000483</t>
  </si>
  <si>
    <t>CUST1307</t>
  </si>
  <si>
    <t>ORD000484</t>
  </si>
  <si>
    <t>CUST1001</t>
  </si>
  <si>
    <t>ORD000485</t>
  </si>
  <si>
    <t>CUST1252</t>
  </si>
  <si>
    <t>ORD000486</t>
  </si>
  <si>
    <t>ORD000487</t>
  </si>
  <si>
    <t>CUST1344</t>
  </si>
  <si>
    <t>ORD000488</t>
  </si>
  <si>
    <t>ORD000489</t>
  </si>
  <si>
    <t>ORD000490</t>
  </si>
  <si>
    <t>ORD000491</t>
  </si>
  <si>
    <t>ORD000492</t>
  </si>
  <si>
    <t>ORD000493</t>
  </si>
  <si>
    <t>ORD000494</t>
  </si>
  <si>
    <t>ORD000495</t>
  </si>
  <si>
    <t>CUST1195</t>
  </si>
  <si>
    <t>ORD000496</t>
  </si>
  <si>
    <t>ORD000497</t>
  </si>
  <si>
    <t>CUST1052</t>
  </si>
  <si>
    <t>ORD000498</t>
  </si>
  <si>
    <t>ORD000499</t>
  </si>
  <si>
    <t>ORD000500</t>
  </si>
  <si>
    <t>ORD000501</t>
  </si>
  <si>
    <t>ORD000502</t>
  </si>
  <si>
    <t>ORD000503</t>
  </si>
  <si>
    <t>ORD000504</t>
  </si>
  <si>
    <t>CUST1154</t>
  </si>
  <si>
    <t>ORD000505</t>
  </si>
  <si>
    <t>ORD000506</t>
  </si>
  <si>
    <t>ORD000507</t>
  </si>
  <si>
    <t>ORD000508</t>
  </si>
  <si>
    <t>ORD000509</t>
  </si>
  <si>
    <t>ORD000510</t>
  </si>
  <si>
    <t>ORD000511</t>
  </si>
  <si>
    <t>ORD000512</t>
  </si>
  <si>
    <t>ORD000513</t>
  </si>
  <si>
    <t>ORD000514</t>
  </si>
  <si>
    <t>ORD000515</t>
  </si>
  <si>
    <t>ORD000516</t>
  </si>
  <si>
    <t>ORD000517</t>
  </si>
  <si>
    <t>ORD000518</t>
  </si>
  <si>
    <t>ORD000519</t>
  </si>
  <si>
    <t>ORD000520</t>
  </si>
  <si>
    <t>ORD000521</t>
  </si>
  <si>
    <t>ORD000522</t>
  </si>
  <si>
    <t>ORD000523</t>
  </si>
  <si>
    <t>ORD000524</t>
  </si>
  <si>
    <t>CUST1299</t>
  </si>
  <si>
    <t>ORD000525</t>
  </si>
  <si>
    <t>ORD000526</t>
  </si>
  <si>
    <t>CUST1156</t>
  </si>
  <si>
    <t>ORD000527</t>
  </si>
  <si>
    <t>ORD000528</t>
  </si>
  <si>
    <t>ORD000529</t>
  </si>
  <si>
    <t>ORD000530</t>
  </si>
  <si>
    <t>ORD000531</t>
  </si>
  <si>
    <t>ORD000532</t>
  </si>
  <si>
    <t>ORD000533</t>
  </si>
  <si>
    <t>ORD000534</t>
  </si>
  <si>
    <t>ORD000535</t>
  </si>
  <si>
    <t>ORD000536</t>
  </si>
  <si>
    <t>ORD000537</t>
  </si>
  <si>
    <t>ORD000538</t>
  </si>
  <si>
    <t>CUST1143</t>
  </si>
  <si>
    <t>ORD000539</t>
  </si>
  <si>
    <t>CUST1212</t>
  </si>
  <si>
    <t>ORD000540</t>
  </si>
  <si>
    <t>ORD000541</t>
  </si>
  <si>
    <t>ORD000542</t>
  </si>
  <si>
    <t>ORD000543</t>
  </si>
  <si>
    <t>CUST1087</t>
  </si>
  <si>
    <t>ORD000544</t>
  </si>
  <si>
    <t>ORD000545</t>
  </si>
  <si>
    <t>ORD000546</t>
  </si>
  <si>
    <t>ORD000547</t>
  </si>
  <si>
    <t>ORD000548</t>
  </si>
  <si>
    <t>ORD000549</t>
  </si>
  <si>
    <t>ORD000550</t>
  </si>
  <si>
    <t>ORD000551</t>
  </si>
  <si>
    <t>ORD000552</t>
  </si>
  <si>
    <t>ORD000553</t>
  </si>
  <si>
    <t>CUST1104</t>
  </si>
  <si>
    <t>ORD000554</t>
  </si>
  <si>
    <t>ORD000555</t>
  </si>
  <si>
    <t>ORD000556</t>
  </si>
  <si>
    <t>ORD000557</t>
  </si>
  <si>
    <t>CUST1074</t>
  </si>
  <si>
    <t>ORD000558</t>
  </si>
  <si>
    <t>ORD000559</t>
  </si>
  <si>
    <t>ORD000560</t>
  </si>
  <si>
    <t>ORD000561</t>
  </si>
  <si>
    <t>ORD000562</t>
  </si>
  <si>
    <t>ORD000563</t>
  </si>
  <si>
    <t>ORD000564</t>
  </si>
  <si>
    <t>ORD000565</t>
  </si>
  <si>
    <t>ORD000566</t>
  </si>
  <si>
    <t>ORD000567</t>
  </si>
  <si>
    <t>ORD000568</t>
  </si>
  <si>
    <t>ORD000569</t>
  </si>
  <si>
    <t>CUST1111</t>
  </si>
  <si>
    <t>ORD000570</t>
  </si>
  <si>
    <t>ORD000571</t>
  </si>
  <si>
    <t>ORD000572</t>
  </si>
  <si>
    <t>ORD000573</t>
  </si>
  <si>
    <t>CUST1269</t>
  </si>
  <si>
    <t>ORD000574</t>
  </si>
  <si>
    <t>ORD000575</t>
  </si>
  <si>
    <t>ORD000576</t>
  </si>
  <si>
    <t>CUST1175</t>
  </si>
  <si>
    <t>ORD000577</t>
  </si>
  <si>
    <t>ORD000578</t>
  </si>
  <si>
    <t>ORD000579</t>
  </si>
  <si>
    <t>ORD000580</t>
  </si>
  <si>
    <t>ORD000581</t>
  </si>
  <si>
    <t>CUST1049</t>
  </si>
  <si>
    <t>ORD000582</t>
  </si>
  <si>
    <t>ORD000583</t>
  </si>
  <si>
    <t>ORD000584</t>
  </si>
  <si>
    <t>ORD000585</t>
  </si>
  <si>
    <t>ORD000586</t>
  </si>
  <si>
    <t>ORD000587</t>
  </si>
  <si>
    <t>ORD000588</t>
  </si>
  <si>
    <t>ORD000589</t>
  </si>
  <si>
    <t>ORD000590</t>
  </si>
  <si>
    <t>ORD000591</t>
  </si>
  <si>
    <t>ORD000592</t>
  </si>
  <si>
    <t>CUST1239</t>
  </si>
  <si>
    <t>ORD000593</t>
  </si>
  <si>
    <t>CUST1090</t>
  </si>
  <si>
    <t>ORD000594</t>
  </si>
  <si>
    <t>ORD000595</t>
  </si>
  <si>
    <t>ORD000596</t>
  </si>
  <si>
    <t>ORD000597</t>
  </si>
  <si>
    <t>CUST1096</t>
  </si>
  <si>
    <t>ORD000598</t>
  </si>
  <si>
    <t>ORD000599</t>
  </si>
  <si>
    <t>ORD000600</t>
  </si>
  <si>
    <t>ORD000601</t>
  </si>
  <si>
    <t>ORD000602</t>
  </si>
  <si>
    <t>ORD000603</t>
  </si>
  <si>
    <t>ORD000604</t>
  </si>
  <si>
    <t>ORD000605</t>
  </si>
  <si>
    <t>CUST1006</t>
  </si>
  <si>
    <t>ORD000606</t>
  </si>
  <si>
    <t>ORD000607</t>
  </si>
  <si>
    <t>ORD000608</t>
  </si>
  <si>
    <t>CUST1026</t>
  </si>
  <si>
    <t>ORD000609</t>
  </si>
  <si>
    <t>ORD000610</t>
  </si>
  <si>
    <t>CUST1305</t>
  </si>
  <si>
    <t>ORD000611</t>
  </si>
  <si>
    <t>ORD000612</t>
  </si>
  <si>
    <t>CUST1162</t>
  </si>
  <si>
    <t>ORD000613</t>
  </si>
  <si>
    <t>ORD000614</t>
  </si>
  <si>
    <t>CUST1095</t>
  </si>
  <si>
    <t>ORD000615</t>
  </si>
  <si>
    <t>ORD000616</t>
  </si>
  <si>
    <t>ORD000617</t>
  </si>
  <si>
    <t>ORD000618</t>
  </si>
  <si>
    <t>ORD000619</t>
  </si>
  <si>
    <t>CUST1091</t>
  </si>
  <si>
    <t>ORD000620</t>
  </si>
  <si>
    <t>ORD000621</t>
  </si>
  <si>
    <t>ORD000622</t>
  </si>
  <si>
    <t>ORD000623</t>
  </si>
  <si>
    <t>ORD000624</t>
  </si>
  <si>
    <t>ORD000625</t>
  </si>
  <si>
    <t>ORD000626</t>
  </si>
  <si>
    <t>ORD000627</t>
  </si>
  <si>
    <t>ORD000628</t>
  </si>
  <si>
    <t>ORD000629</t>
  </si>
  <si>
    <t>ORD000630</t>
  </si>
  <si>
    <t>ORD000631</t>
  </si>
  <si>
    <t>ORD000632</t>
  </si>
  <si>
    <t>CUST1131</t>
  </si>
  <si>
    <t>ORD000633</t>
  </si>
  <si>
    <t>ORD000634</t>
  </si>
  <si>
    <t>ORD000635</t>
  </si>
  <si>
    <t>ORD000636</t>
  </si>
  <si>
    <t>ORD000637</t>
  </si>
  <si>
    <t>ORD000638</t>
  </si>
  <si>
    <t>CUST1042</t>
  </si>
  <si>
    <t>ORD000639</t>
  </si>
  <si>
    <t>ORD000640</t>
  </si>
  <si>
    <t>ORD000641</t>
  </si>
  <si>
    <t>ORD000642</t>
  </si>
  <si>
    <t>ORD000643</t>
  </si>
  <si>
    <t>ORD000644</t>
  </si>
  <si>
    <t>ORD000645</t>
  </si>
  <si>
    <t>ORD000646</t>
  </si>
  <si>
    <t>ORD000647</t>
  </si>
  <si>
    <t>CUST1316</t>
  </si>
  <si>
    <t>ORD000648</t>
  </si>
  <si>
    <t>ORD000649</t>
  </si>
  <si>
    <t>ORD000650</t>
  </si>
  <si>
    <t>ORD000651</t>
  </si>
  <si>
    <t>ORD000652</t>
  </si>
  <si>
    <t>ORD000653</t>
  </si>
  <si>
    <t>ORD000654</t>
  </si>
  <si>
    <t>CUST1116</t>
  </si>
  <si>
    <t>ORD000655</t>
  </si>
  <si>
    <t>ORD000656</t>
  </si>
  <si>
    <t>ORD000657</t>
  </si>
  <si>
    <t>CUST1272</t>
  </si>
  <si>
    <t>ORD000658</t>
  </si>
  <si>
    <t>ORD000659</t>
  </si>
  <si>
    <t>ORD000660</t>
  </si>
  <si>
    <t>ORD000661</t>
  </si>
  <si>
    <t>ORD000662</t>
  </si>
  <si>
    <t>ORD000663</t>
  </si>
  <si>
    <t>ORD000664</t>
  </si>
  <si>
    <t>CUST1160</t>
  </si>
  <si>
    <t>ORD000665</t>
  </si>
  <si>
    <t>CUST1266</t>
  </si>
  <si>
    <t>ORD000666</t>
  </si>
  <si>
    <t>ORD000667</t>
  </si>
  <si>
    <t>CUST1236</t>
  </si>
  <si>
    <t>ORD000668</t>
  </si>
  <si>
    <t>ORD000669</t>
  </si>
  <si>
    <t>ORD000670</t>
  </si>
  <si>
    <t>ORD000671</t>
  </si>
  <si>
    <t>ORD000672</t>
  </si>
  <si>
    <t>ORD000673</t>
  </si>
  <si>
    <t>ORD000674</t>
  </si>
  <si>
    <t>ORD000675</t>
  </si>
  <si>
    <t>ORD000676</t>
  </si>
  <si>
    <t>ORD000677</t>
  </si>
  <si>
    <t>ORD000678</t>
  </si>
  <si>
    <t>CUST1152</t>
  </si>
  <si>
    <t>ORD000679</t>
  </si>
  <si>
    <t>CUST1312</t>
  </si>
  <si>
    <t>ORD000680</t>
  </si>
  <si>
    <t>ORD000681</t>
  </si>
  <si>
    <t>ORD000682</t>
  </si>
  <si>
    <t>CUST1107</t>
  </si>
  <si>
    <t>ORD000683</t>
  </si>
  <si>
    <t>ORD000684</t>
  </si>
  <si>
    <t>ORD000685</t>
  </si>
  <si>
    <t>ORD000686</t>
  </si>
  <si>
    <t>CUST1106</t>
  </si>
  <si>
    <t>ORD000687</t>
  </si>
  <si>
    <t>ORD000688</t>
  </si>
  <si>
    <t>CUST1003</t>
  </si>
  <si>
    <t>ORD000689</t>
  </si>
  <si>
    <t>ORD000690</t>
  </si>
  <si>
    <t>ORD000691</t>
  </si>
  <si>
    <t>ORD000692</t>
  </si>
  <si>
    <t>CUST1181</t>
  </si>
  <si>
    <t>ORD000693</t>
  </si>
  <si>
    <t>ORD000694</t>
  </si>
  <si>
    <t>ORD000695</t>
  </si>
  <si>
    <t>ORD000696</t>
  </si>
  <si>
    <t>ORD000697</t>
  </si>
  <si>
    <t>ORD000698</t>
  </si>
  <si>
    <t>ORD000699</t>
  </si>
  <si>
    <t>ORD000700</t>
  </si>
  <si>
    <t>ORD000701</t>
  </si>
  <si>
    <t>ORD000702</t>
  </si>
  <si>
    <t>ORD000703</t>
  </si>
  <si>
    <t>ORD000704</t>
  </si>
  <si>
    <t>ORD000705</t>
  </si>
  <si>
    <t>ORD000706</t>
  </si>
  <si>
    <t>ORD000707</t>
  </si>
  <si>
    <t>ORD000708</t>
  </si>
  <si>
    <t>ORD000709</t>
  </si>
  <si>
    <t>ORD000710</t>
  </si>
  <si>
    <t>ORD000711</t>
  </si>
  <si>
    <t>ORD000712</t>
  </si>
  <si>
    <t>ORD000713</t>
  </si>
  <si>
    <t>ORD000714</t>
  </si>
  <si>
    <t>ORD000715</t>
  </si>
  <si>
    <t>ORD000716</t>
  </si>
  <si>
    <t>CUST1100</t>
  </si>
  <si>
    <t>ORD000717</t>
  </si>
  <si>
    <t>ORD000718</t>
  </si>
  <si>
    <t>CUST1189</t>
  </si>
  <si>
    <t>ORD000719</t>
  </si>
  <si>
    <t>ORD000720</t>
  </si>
  <si>
    <t>ORD000721</t>
  </si>
  <si>
    <t>CUST1213</t>
  </si>
  <si>
    <t>ORD000722</t>
  </si>
  <si>
    <t>ORD000723</t>
  </si>
  <si>
    <t>ORD000724</t>
  </si>
  <si>
    <t>ORD000725</t>
  </si>
  <si>
    <t>ORD000726</t>
  </si>
  <si>
    <t>ORD000727</t>
  </si>
  <si>
    <t>ORD000728</t>
  </si>
  <si>
    <t>ORD000729</t>
  </si>
  <si>
    <t>ORD000730</t>
  </si>
  <si>
    <t>ORD000731</t>
  </si>
  <si>
    <t>ORD000732</t>
  </si>
  <si>
    <t>ORD000733</t>
  </si>
  <si>
    <t>ORD000734</t>
  </si>
  <si>
    <t>ORD000735</t>
  </si>
  <si>
    <t>ORD000736</t>
  </si>
  <si>
    <t>ORD000737</t>
  </si>
  <si>
    <t>ORD000738</t>
  </si>
  <si>
    <t>ORD000739</t>
  </si>
  <si>
    <t>CUST1161</t>
  </si>
  <si>
    <t>ORD000740</t>
  </si>
  <si>
    <t>ORD000741</t>
  </si>
  <si>
    <t>ORD000742</t>
  </si>
  <si>
    <t>ORD000743</t>
  </si>
  <si>
    <t>ORD000744</t>
  </si>
  <si>
    <t>ORD000745</t>
  </si>
  <si>
    <t>ORD000746</t>
  </si>
  <si>
    <t>ORD000747</t>
  </si>
  <si>
    <t>ORD000748</t>
  </si>
  <si>
    <t>ORD000749</t>
  </si>
  <si>
    <t>ORD000750</t>
  </si>
  <si>
    <t>CUST1017</t>
  </si>
  <si>
    <t>ORD000751</t>
  </si>
  <si>
    <t>ORD000752</t>
  </si>
  <si>
    <t>ORD000753</t>
  </si>
  <si>
    <t>ORD000754</t>
  </si>
  <si>
    <t>ORD000755</t>
  </si>
  <si>
    <t>ORD000756</t>
  </si>
  <si>
    <t>ORD000757</t>
  </si>
  <si>
    <t>ORD000758</t>
  </si>
  <si>
    <t>ORD000759</t>
  </si>
  <si>
    <t>ORD000760</t>
  </si>
  <si>
    <t>CUST1018</t>
  </si>
  <si>
    <t>ORD000761</t>
  </si>
  <si>
    <t>ORD000762</t>
  </si>
  <si>
    <t>ORD000763</t>
  </si>
  <si>
    <t>ORD000764</t>
  </si>
  <si>
    <t>ORD000765</t>
  </si>
  <si>
    <t>ORD000766</t>
  </si>
  <si>
    <t>CUST1313</t>
  </si>
  <si>
    <t>ORD000767</t>
  </si>
  <si>
    <t>ORD000768</t>
  </si>
  <si>
    <t>ORD000769</t>
  </si>
  <si>
    <t>ORD000770</t>
  </si>
  <si>
    <t>ORD000771</t>
  </si>
  <si>
    <t>ORD000772</t>
  </si>
  <si>
    <t>ORD000773</t>
  </si>
  <si>
    <t>ORD000774</t>
  </si>
  <si>
    <t>ORD000775</t>
  </si>
  <si>
    <t>ORD000776</t>
  </si>
  <si>
    <t>ORD000777</t>
  </si>
  <si>
    <t>ORD000778</t>
  </si>
  <si>
    <t>ORD000779</t>
  </si>
  <si>
    <t>ORD000780</t>
  </si>
  <si>
    <t>ORD000781</t>
  </si>
  <si>
    <t>ORD000782</t>
  </si>
  <si>
    <t>CUST1222</t>
  </si>
  <si>
    <t>ORD000783</t>
  </si>
  <si>
    <t>CUST1020</t>
  </si>
  <si>
    <t>ORD000784</t>
  </si>
  <si>
    <t>ORD000785</t>
  </si>
  <si>
    <t>ORD000786</t>
  </si>
  <si>
    <t>CUST1298</t>
  </si>
  <si>
    <t>ORD000787</t>
  </si>
  <si>
    <t>ORD000788</t>
  </si>
  <si>
    <t>ORD000789</t>
  </si>
  <si>
    <t>ORD000790</t>
  </si>
  <si>
    <t>ORD000791</t>
  </si>
  <si>
    <t>ORD000792</t>
  </si>
  <si>
    <t>CUST1180</t>
  </si>
  <si>
    <t>ORD000793</t>
  </si>
  <si>
    <t>ORD000794</t>
  </si>
  <si>
    <t>ORD000795</t>
  </si>
  <si>
    <t>ORD000796</t>
  </si>
  <si>
    <t>CUST1321</t>
  </si>
  <si>
    <t>ORD000797</t>
  </si>
  <si>
    <t>ORD000798</t>
  </si>
  <si>
    <t>ORD000799</t>
  </si>
  <si>
    <t>ORD000800</t>
  </si>
  <si>
    <t>CUST1024</t>
  </si>
  <si>
    <t>ORD000801</t>
  </si>
  <si>
    <t>ORD000802</t>
  </si>
  <si>
    <t>ORD000803</t>
  </si>
  <si>
    <t>ORD000804</t>
  </si>
  <si>
    <t>ORD000805</t>
  </si>
  <si>
    <t>ORD000806</t>
  </si>
  <si>
    <t>ORD000807</t>
  </si>
  <si>
    <t>ORD000808</t>
  </si>
  <si>
    <t>ORD000809</t>
  </si>
  <si>
    <t>ORD000810</t>
  </si>
  <si>
    <t>ORD000811</t>
  </si>
  <si>
    <t>ORD000812</t>
  </si>
  <si>
    <t>ORD000813</t>
  </si>
  <si>
    <t>ORD000814</t>
  </si>
  <si>
    <t>ORD000815</t>
  </si>
  <si>
    <t>ORD000816</t>
  </si>
  <si>
    <t>ORD000817</t>
  </si>
  <si>
    <t>ORD000818</t>
  </si>
  <si>
    <t>CUST1125</t>
  </si>
  <si>
    <t>ORD000819</t>
  </si>
  <si>
    <t>ORD000820</t>
  </si>
  <si>
    <t>ORD000821</t>
  </si>
  <si>
    <t>ORD000822</t>
  </si>
  <si>
    <t>ORD000823</t>
  </si>
  <si>
    <t>ORD000824</t>
  </si>
  <si>
    <t>ORD000825</t>
  </si>
  <si>
    <t>ORD000826</t>
  </si>
  <si>
    <t>ORD000827</t>
  </si>
  <si>
    <t>ORD000828</t>
  </si>
  <si>
    <t>ORD000829</t>
  </si>
  <si>
    <t>ORD000830</t>
  </si>
  <si>
    <t>ORD000831</t>
  </si>
  <si>
    <t>CUST1033</t>
  </si>
  <si>
    <t>ORD000832</t>
  </si>
  <si>
    <t>ORD000833</t>
  </si>
  <si>
    <t>ORD000834</t>
  </si>
  <si>
    <t>ORD000835</t>
  </si>
  <si>
    <t>ORD000836</t>
  </si>
  <si>
    <t>ORD000837</t>
  </si>
  <si>
    <t>ORD000838</t>
  </si>
  <si>
    <t>ORD000839</t>
  </si>
  <si>
    <t>ORD000840</t>
  </si>
  <si>
    <t>ORD000841</t>
  </si>
  <si>
    <t>ORD000842</t>
  </si>
  <si>
    <t>ORD000843</t>
  </si>
  <si>
    <t>ORD000844</t>
  </si>
  <si>
    <t>ORD000845</t>
  </si>
  <si>
    <t>ORD000846</t>
  </si>
  <si>
    <t>ORD000847</t>
  </si>
  <si>
    <t>ORD000848</t>
  </si>
  <si>
    <t>ORD000849</t>
  </si>
  <si>
    <t>CUST1060</t>
  </si>
  <si>
    <t>ORD000850</t>
  </si>
  <si>
    <t>ORD000851</t>
  </si>
  <si>
    <t>ORD000852</t>
  </si>
  <si>
    <t>ORD000853</t>
  </si>
  <si>
    <t>ORD000854</t>
  </si>
  <si>
    <t>ORD000855</t>
  </si>
  <si>
    <t>ORD000856</t>
  </si>
  <si>
    <t>ORD000857</t>
  </si>
  <si>
    <t>ORD000858</t>
  </si>
  <si>
    <t>ORD000859</t>
  </si>
  <si>
    <t>ORD000860</t>
  </si>
  <si>
    <t>ORD000861</t>
  </si>
  <si>
    <t>ORD000862</t>
  </si>
  <si>
    <t>CUST1177</t>
  </si>
  <si>
    <t>ORD000863</t>
  </si>
  <si>
    <t>ORD000864</t>
  </si>
  <si>
    <t>ORD000865</t>
  </si>
  <si>
    <t>ORD000866</t>
  </si>
  <si>
    <t>ORD000867</t>
  </si>
  <si>
    <t>ORD000868</t>
  </si>
  <si>
    <t>ORD000869</t>
  </si>
  <si>
    <t>ORD000870</t>
  </si>
  <si>
    <t>ORD000871</t>
  </si>
  <si>
    <t>CUST1186</t>
  </si>
  <si>
    <t>ORD000872</t>
  </si>
  <si>
    <t>ORD000873</t>
  </si>
  <si>
    <t>ORD000874</t>
  </si>
  <si>
    <t>ORD000875</t>
  </si>
  <si>
    <t>ORD000876</t>
  </si>
  <si>
    <t>ORD000877</t>
  </si>
  <si>
    <t>ORD000878</t>
  </si>
  <si>
    <t>ORD000879</t>
  </si>
  <si>
    <t>ORD000880</t>
  </si>
  <si>
    <t>CUST1323</t>
  </si>
  <si>
    <t>ORD000881</t>
  </si>
  <si>
    <t>ORD000882</t>
  </si>
  <si>
    <t>ORD000883</t>
  </si>
  <si>
    <t>ORD000884</t>
  </si>
  <si>
    <t>ORD000885</t>
  </si>
  <si>
    <t>ORD000886</t>
  </si>
  <si>
    <t>ORD000887</t>
  </si>
  <si>
    <t>ORD000888</t>
  </si>
  <si>
    <t>ORD000889</t>
  </si>
  <si>
    <t>ORD000890</t>
  </si>
  <si>
    <t>ORD000891</t>
  </si>
  <si>
    <t>ORD000892</t>
  </si>
  <si>
    <t>ORD000893</t>
  </si>
  <si>
    <t>ORD000894</t>
  </si>
  <si>
    <t>ORD000895</t>
  </si>
  <si>
    <t>ORD000896</t>
  </si>
  <si>
    <t>ORD000897</t>
  </si>
  <si>
    <t>ORD000898</t>
  </si>
  <si>
    <t>ORD000899</t>
  </si>
  <si>
    <t>ORD000900</t>
  </si>
  <si>
    <t>ORD000901</t>
  </si>
  <si>
    <t>ORD000902</t>
  </si>
  <si>
    <t>ORD000903</t>
  </si>
  <si>
    <t>ORD000904</t>
  </si>
  <si>
    <t>ORD000905</t>
  </si>
  <si>
    <t>ORD000906</t>
  </si>
  <si>
    <t>ORD000907</t>
  </si>
  <si>
    <t>ORD000908</t>
  </si>
  <si>
    <t>ORD000909</t>
  </si>
  <si>
    <t>ORD000910</t>
  </si>
  <si>
    <t>ORD000911</t>
  </si>
  <si>
    <t>ORD000912</t>
  </si>
  <si>
    <t>ORD000913</t>
  </si>
  <si>
    <t>ORD000914</t>
  </si>
  <si>
    <t>ORD000915</t>
  </si>
  <si>
    <t>ORD000916</t>
  </si>
  <si>
    <t>ORD000917</t>
  </si>
  <si>
    <t>ORD000918</t>
  </si>
  <si>
    <t>ORD000919</t>
  </si>
  <si>
    <t>ORD000920</t>
  </si>
  <si>
    <t>ORD000921</t>
  </si>
  <si>
    <t>ORD000922</t>
  </si>
  <si>
    <t>ORD000923</t>
  </si>
  <si>
    <t>ORD000924</t>
  </si>
  <si>
    <t>ORD000925</t>
  </si>
  <si>
    <t>ORD000926</t>
  </si>
  <si>
    <t>ORD000927</t>
  </si>
  <si>
    <t>ORD000928</t>
  </si>
  <si>
    <t>ORD000929</t>
  </si>
  <si>
    <t>ORD000930</t>
  </si>
  <si>
    <t>ORD000931</t>
  </si>
  <si>
    <t>ORD000932</t>
  </si>
  <si>
    <t>ORD000933</t>
  </si>
  <si>
    <t>ORD000934</t>
  </si>
  <si>
    <t>ORD000935</t>
  </si>
  <si>
    <t>ORD000936</t>
  </si>
  <si>
    <t>ORD000937</t>
  </si>
  <si>
    <t>ORD000938</t>
  </si>
  <si>
    <t>ORD000939</t>
  </si>
  <si>
    <t>ORD000940</t>
  </si>
  <si>
    <t>ORD000941</t>
  </si>
  <si>
    <t>ORD000942</t>
  </si>
  <si>
    <t>ORD000943</t>
  </si>
  <si>
    <t>ORD000944</t>
  </si>
  <si>
    <t>ORD000945</t>
  </si>
  <si>
    <t>ORD000946</t>
  </si>
  <si>
    <t>ORD000947</t>
  </si>
  <si>
    <t>ORD000948</t>
  </si>
  <si>
    <t>ORD000949</t>
  </si>
  <si>
    <t>CUST1206</t>
  </si>
  <si>
    <t>ORD000950</t>
  </si>
  <si>
    <t>ORD000951</t>
  </si>
  <si>
    <t>ORD000952</t>
  </si>
  <si>
    <t>ORD000953</t>
  </si>
  <si>
    <t>ORD000954</t>
  </si>
  <si>
    <t>ORD000955</t>
  </si>
  <si>
    <t>ORD000956</t>
  </si>
  <si>
    <t>ORD000957</t>
  </si>
  <si>
    <t>ORD000958</t>
  </si>
  <si>
    <t>ORD000959</t>
  </si>
  <si>
    <t>ORD000960</t>
  </si>
  <si>
    <t>ORD000961</t>
  </si>
  <si>
    <t>ORD000962</t>
  </si>
  <si>
    <t>ORD000963</t>
  </si>
  <si>
    <t>ORD000964</t>
  </si>
  <si>
    <t>ORD000965</t>
  </si>
  <si>
    <t>ORD000966</t>
  </si>
  <si>
    <t>ORD000967</t>
  </si>
  <si>
    <t>ORD000968</t>
  </si>
  <si>
    <t>ORD000969</t>
  </si>
  <si>
    <t>ORD000970</t>
  </si>
  <si>
    <t>ORD000971</t>
  </si>
  <si>
    <t>ORD000972</t>
  </si>
  <si>
    <t>ORD000973</t>
  </si>
  <si>
    <t>ORD000974</t>
  </si>
  <si>
    <t>ORD000975</t>
  </si>
  <si>
    <t>ORD000976</t>
  </si>
  <si>
    <t>ORD000977</t>
  </si>
  <si>
    <t>ORD000978</t>
  </si>
  <si>
    <t>ORD000979</t>
  </si>
  <si>
    <t>ORD000980</t>
  </si>
  <si>
    <t>ORD000981</t>
  </si>
  <si>
    <t>ORD000982</t>
  </si>
  <si>
    <t>ORD000983</t>
  </si>
  <si>
    <t>ORD000984</t>
  </si>
  <si>
    <t>ORD000985</t>
  </si>
  <si>
    <t>ORD000986</t>
  </si>
  <si>
    <t>ORD000987</t>
  </si>
  <si>
    <t>ORD000988</t>
  </si>
  <si>
    <t>ORD000989</t>
  </si>
  <si>
    <t>ORD000990</t>
  </si>
  <si>
    <t>ORD000991</t>
  </si>
  <si>
    <t>ORD000992</t>
  </si>
  <si>
    <t>ORD000993</t>
  </si>
  <si>
    <t>ORD000994</t>
  </si>
  <si>
    <t>ORD000995</t>
  </si>
  <si>
    <t>CUST1065</t>
  </si>
  <si>
    <t>ORD000996</t>
  </si>
  <si>
    <t>CUST1347</t>
  </si>
  <si>
    <t>ORD000997</t>
  </si>
  <si>
    <t>ORD000998</t>
  </si>
  <si>
    <t>ORD000999</t>
  </si>
  <si>
    <t>ORD001000</t>
  </si>
  <si>
    <t>Column Labels</t>
  </si>
  <si>
    <t>Grand Total</t>
  </si>
  <si>
    <t>Row Labels</t>
  </si>
  <si>
    <t>Sum of TotalAmount</t>
  </si>
  <si>
    <t>Count of OrderID</t>
  </si>
  <si>
    <t>Jan</t>
  </si>
  <si>
    <t>Feb</t>
  </si>
  <si>
    <t>Mar</t>
  </si>
  <si>
    <t>Apr</t>
  </si>
  <si>
    <t>May</t>
  </si>
  <si>
    <t>Jun</t>
  </si>
  <si>
    <t>Jul</t>
  </si>
  <si>
    <t>Aug</t>
  </si>
  <si>
    <t>Sep</t>
  </si>
  <si>
    <t>Oct</t>
  </si>
  <si>
    <t>Nov</t>
  </si>
  <si>
    <t>Dec</t>
  </si>
  <si>
    <t>(All)</t>
  </si>
  <si>
    <t>Count of TotalAmount</t>
  </si>
  <si>
    <t>Average of TotalAmount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</si>
</sst>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patternFill>
    </fill>
    <fill>
      <patternFill patternType="solid">
        <fgColor theme="0"/>
        <bgColor indexed="64"/>
      </patternFill>
    </fill>
    <fill>
      <patternFill patternType="solid">
        <fgColor theme="0"/>
        <bgColor theme="4" tint="0.79998168889431442"/>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34" borderId="0" xfId="0" applyFill="1" applyBorder="1"/>
    <xf numFmtId="0" fontId="13" fillId="33" borderId="0" xfId="0" applyFont="1" applyFill="1" applyBorder="1"/>
    <xf numFmtId="0" fontId="0" fillId="35" borderId="0" xfId="0" applyFont="1" applyFill="1" applyBorder="1"/>
    <xf numFmtId="14" fontId="0" fillId="35" borderId="0" xfId="0" applyNumberFormat="1" applyFont="1" applyFill="1" applyBorder="1"/>
    <xf numFmtId="0" fontId="0" fillId="34" borderId="0" xfId="0" applyFont="1" applyFill="1" applyBorder="1"/>
    <xf numFmtId="14" fontId="0" fillId="34" borderId="0" xfId="0" applyNumberFormat="1" applyFont="1" applyFill="1" applyBorder="1"/>
    <xf numFmtId="0" fontId="0" fillId="0" borderId="0" xfId="0" pivotButton="1"/>
    <xf numFmtId="0" fontId="0" fillId="0" borderId="0" xfId="0" applyAlignment="1">
      <alignment horizontal="left"/>
    </xf>
    <xf numFmtId="0" fontId="0" fillId="0" borderId="0" xfId="0" applyNumberFormat="1"/>
    <xf numFmtId="0" fontId="0" fillId="36" borderId="0" xfId="0" applyFill="1"/>
    <xf numFmtId="0" fontId="18" fillId="0" borderId="0" xfId="0" applyFont="1"/>
    <xf numFmtId="0" fontId="18" fillId="0" borderId="0" xfId="0" pivotButton="1" applyFont="1"/>
    <xf numFmtId="0" fontId="18" fillId="0" borderId="0" xfId="0" applyFont="1" applyAlignment="1">
      <alignment horizontal="left"/>
    </xf>
    <xf numFmtId="0"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0">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[RegionalSalesDashboard.xlsx]PIVOT!Q2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Order Status by Region</a:t>
            </a:r>
          </a:p>
        </c:rich>
      </c:tx>
      <c:layout>
        <c:manualLayout>
          <c:xMode val="edge"/>
          <c:yMode val="edge"/>
          <c:x val="2.2625876354365839E-3"/>
          <c:y val="4.02856619666727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35631803194769"/>
          <c:y val="0.10738773932328226"/>
          <c:w val="0.46564941810571958"/>
          <c:h val="0.72145842234836921"/>
        </c:manualLayout>
      </c:layout>
      <c:barChart>
        <c:barDir val="bar"/>
        <c:grouping val="stacked"/>
        <c:varyColors val="0"/>
        <c:ser>
          <c:idx val="0"/>
          <c:order val="0"/>
          <c:tx>
            <c:strRef>
              <c:f>PIVOT!$K$3:$K$4</c:f>
              <c:strCache>
                <c:ptCount val="1"/>
                <c:pt idx="0">
                  <c:v>Cancelled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PIVOT!$K$5:$K$17</c:f>
              <c:numCache>
                <c:formatCode>General</c:formatCode>
                <c:ptCount val="12"/>
                <c:pt idx="0">
                  <c:v>140406</c:v>
                </c:pt>
                <c:pt idx="1">
                  <c:v>754713</c:v>
                </c:pt>
                <c:pt idx="2">
                  <c:v>441882</c:v>
                </c:pt>
                <c:pt idx="3">
                  <c:v>322044</c:v>
                </c:pt>
                <c:pt idx="4">
                  <c:v>161128</c:v>
                </c:pt>
                <c:pt idx="5">
                  <c:v>53046</c:v>
                </c:pt>
                <c:pt idx="6">
                  <c:v>344599</c:v>
                </c:pt>
                <c:pt idx="7">
                  <c:v>355140</c:v>
                </c:pt>
                <c:pt idx="8">
                  <c:v>50435</c:v>
                </c:pt>
                <c:pt idx="9">
                  <c:v>355773</c:v>
                </c:pt>
                <c:pt idx="10">
                  <c:v>670383</c:v>
                </c:pt>
                <c:pt idx="11">
                  <c:v>186359</c:v>
                </c:pt>
              </c:numCache>
            </c:numRef>
          </c:val>
          <c:extLst>
            <c:ext xmlns:c16="http://schemas.microsoft.com/office/drawing/2014/chart" uri="{C3380CC4-5D6E-409C-BE32-E72D297353CC}">
              <c16:uniqueId val="{00000000-E907-4FBE-94E6-10E2CA3D65D9}"/>
            </c:ext>
          </c:extLst>
        </c:ser>
        <c:ser>
          <c:idx val="1"/>
          <c:order val="1"/>
          <c:tx>
            <c:strRef>
              <c:f>PIVOT!$L$3:$L$4</c:f>
              <c:strCache>
                <c:ptCount val="1"/>
                <c:pt idx="0">
                  <c:v>Completed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PIVOT!$L$5:$L$17</c:f>
              <c:numCache>
                <c:formatCode>General</c:formatCode>
                <c:ptCount val="12"/>
                <c:pt idx="0">
                  <c:v>2350256</c:v>
                </c:pt>
                <c:pt idx="1">
                  <c:v>4307615</c:v>
                </c:pt>
                <c:pt idx="2">
                  <c:v>3336167</c:v>
                </c:pt>
                <c:pt idx="3">
                  <c:v>2433462</c:v>
                </c:pt>
                <c:pt idx="4">
                  <c:v>3654693</c:v>
                </c:pt>
                <c:pt idx="5">
                  <c:v>5076030</c:v>
                </c:pt>
                <c:pt idx="6">
                  <c:v>3547769</c:v>
                </c:pt>
                <c:pt idx="7">
                  <c:v>2706362</c:v>
                </c:pt>
                <c:pt idx="8">
                  <c:v>3798736</c:v>
                </c:pt>
                <c:pt idx="9">
                  <c:v>2419424</c:v>
                </c:pt>
                <c:pt idx="10">
                  <c:v>3384845</c:v>
                </c:pt>
                <c:pt idx="11">
                  <c:v>3835923</c:v>
                </c:pt>
              </c:numCache>
            </c:numRef>
          </c:val>
          <c:extLst>
            <c:ext xmlns:c16="http://schemas.microsoft.com/office/drawing/2014/chart" uri="{C3380CC4-5D6E-409C-BE32-E72D297353CC}">
              <c16:uniqueId val="{00000008-E907-4FBE-94E6-10E2CA3D65D9}"/>
            </c:ext>
          </c:extLst>
        </c:ser>
        <c:ser>
          <c:idx val="2"/>
          <c:order val="2"/>
          <c:tx>
            <c:strRef>
              <c:f>PIVOT!$M$3:$M$4</c:f>
              <c:strCache>
                <c:ptCount val="1"/>
                <c:pt idx="0">
                  <c:v>Returned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PIVOT!$M$5:$M$17</c:f>
              <c:numCache>
                <c:formatCode>General</c:formatCode>
                <c:ptCount val="12"/>
                <c:pt idx="0">
                  <c:v>316540</c:v>
                </c:pt>
                <c:pt idx="1">
                  <c:v>79809</c:v>
                </c:pt>
                <c:pt idx="3">
                  <c:v>725636</c:v>
                </c:pt>
                <c:pt idx="4">
                  <c:v>346929</c:v>
                </c:pt>
                <c:pt idx="5">
                  <c:v>109188</c:v>
                </c:pt>
                <c:pt idx="6">
                  <c:v>170254</c:v>
                </c:pt>
                <c:pt idx="7">
                  <c:v>640283</c:v>
                </c:pt>
                <c:pt idx="8">
                  <c:v>205048</c:v>
                </c:pt>
                <c:pt idx="9">
                  <c:v>149624</c:v>
                </c:pt>
                <c:pt idx="10">
                  <c:v>48800</c:v>
                </c:pt>
                <c:pt idx="11">
                  <c:v>93972</c:v>
                </c:pt>
              </c:numCache>
            </c:numRef>
          </c:val>
          <c:extLst>
            <c:ext xmlns:c16="http://schemas.microsoft.com/office/drawing/2014/chart" uri="{C3380CC4-5D6E-409C-BE32-E72D297353CC}">
              <c16:uniqueId val="{00000009-E907-4FBE-94E6-10E2CA3D65D9}"/>
            </c:ext>
          </c:extLst>
        </c:ser>
        <c:dLbls>
          <c:showLegendKey val="0"/>
          <c:showVal val="0"/>
          <c:showCatName val="0"/>
          <c:showSerName val="0"/>
          <c:showPercent val="0"/>
          <c:showBubbleSize val="0"/>
        </c:dLbls>
        <c:gapWidth val="150"/>
        <c:overlap val="100"/>
        <c:axId val="1822415199"/>
        <c:axId val="1834102991"/>
      </c:barChart>
      <c:catAx>
        <c:axId val="1822415199"/>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102991"/>
        <c:crosses val="autoZero"/>
        <c:auto val="1"/>
        <c:lblAlgn val="ctr"/>
        <c:lblOffset val="100"/>
        <c:noMultiLvlLbl val="0"/>
      </c:catAx>
      <c:valAx>
        <c:axId val="18341029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241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[RegionalSalesDashboard.xlsx]PIVOT!Q3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layout>
        <c:manualLayout>
          <c:xMode val="edge"/>
          <c:yMode val="edge"/>
          <c:x val="3.2604111986001771E-2"/>
          <c:y val="1.28681831437736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5080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PIVOT!$Q$3</c:f>
              <c:strCache>
                <c:ptCount val="1"/>
                <c:pt idx="0">
                  <c:v>Total</c:v>
                </c:pt>
              </c:strCache>
            </c:strRef>
          </c:tx>
          <c:spPr>
            <a:ln w="5080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PIVOT!$Q$4:$Q$16</c:f>
              <c:numCache>
                <c:formatCode>General</c:formatCode>
                <c:ptCount val="12"/>
                <c:pt idx="0">
                  <c:v>2807202</c:v>
                </c:pt>
                <c:pt idx="1">
                  <c:v>5142137</c:v>
                </c:pt>
                <c:pt idx="2">
                  <c:v>3778049</c:v>
                </c:pt>
                <c:pt idx="3">
                  <c:v>3481142</c:v>
                </c:pt>
                <c:pt idx="4">
                  <c:v>4162750</c:v>
                </c:pt>
                <c:pt idx="5">
                  <c:v>5238264</c:v>
                </c:pt>
                <c:pt idx="6">
                  <c:v>4062622</c:v>
                </c:pt>
                <c:pt idx="7">
                  <c:v>3701785</c:v>
                </c:pt>
                <c:pt idx="8">
                  <c:v>4054219</c:v>
                </c:pt>
                <c:pt idx="9">
                  <c:v>2924821</c:v>
                </c:pt>
                <c:pt idx="10">
                  <c:v>4104028</c:v>
                </c:pt>
                <c:pt idx="11">
                  <c:v>4116254</c:v>
                </c:pt>
              </c:numCache>
            </c:numRef>
          </c:val>
          <c:smooth val="0"/>
          <c:extLst>
            <c:ext xmlns:c16="http://schemas.microsoft.com/office/drawing/2014/chart" uri="{C3380CC4-5D6E-409C-BE32-E72D297353CC}">
              <c16:uniqueId val="{00000000-B964-4992-9CCF-895D64238999}"/>
            </c:ext>
          </c:extLst>
        </c:ser>
        <c:dLbls>
          <c:showLegendKey val="0"/>
          <c:showVal val="0"/>
          <c:showCatName val="0"/>
          <c:showSerName val="0"/>
          <c:showPercent val="0"/>
          <c:showBubbleSize val="0"/>
        </c:dLbls>
        <c:marker val="1"/>
        <c:smooth val="0"/>
        <c:axId val="2100796559"/>
        <c:axId val="1834113071"/>
      </c:lineChart>
      <c:catAx>
        <c:axId val="21007965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113071"/>
        <c:crosses val="autoZero"/>
        <c:auto val="1"/>
        <c:lblAlgn val="ctr"/>
        <c:lblOffset val="100"/>
        <c:noMultiLvlLbl val="0"/>
      </c:catAx>
      <c:valAx>
        <c:axId val="1834113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079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[RegionalSalesDashboard.xlsx]PIVOT!Q2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Order Status by Region</a:t>
            </a:r>
          </a:p>
        </c:rich>
      </c:tx>
      <c:layout>
        <c:manualLayout>
          <c:xMode val="edge"/>
          <c:yMode val="edge"/>
          <c:x val="2.2625876354365839E-3"/>
          <c:y val="4.02856619666727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35631803194769"/>
          <c:y val="0.10738773932328226"/>
          <c:w val="0.46564941810571958"/>
          <c:h val="0.72145842234836921"/>
        </c:manualLayout>
      </c:layout>
      <c:barChart>
        <c:barDir val="bar"/>
        <c:grouping val="stacked"/>
        <c:varyColors val="0"/>
        <c:ser>
          <c:idx val="0"/>
          <c:order val="0"/>
          <c:tx>
            <c:strRef>
              <c:f>PIVOT!$K$3:$K$4</c:f>
              <c:strCache>
                <c:ptCount val="1"/>
                <c:pt idx="0">
                  <c:v>Cancelled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PIVOT!$K$5:$K$17</c:f>
              <c:numCache>
                <c:formatCode>General</c:formatCode>
                <c:ptCount val="12"/>
                <c:pt idx="0">
                  <c:v>140406</c:v>
                </c:pt>
                <c:pt idx="1">
                  <c:v>754713</c:v>
                </c:pt>
                <c:pt idx="2">
                  <c:v>441882</c:v>
                </c:pt>
                <c:pt idx="3">
                  <c:v>322044</c:v>
                </c:pt>
                <c:pt idx="4">
                  <c:v>161128</c:v>
                </c:pt>
                <c:pt idx="5">
                  <c:v>53046</c:v>
                </c:pt>
                <c:pt idx="6">
                  <c:v>344599</c:v>
                </c:pt>
                <c:pt idx="7">
                  <c:v>355140</c:v>
                </c:pt>
                <c:pt idx="8">
                  <c:v>50435</c:v>
                </c:pt>
                <c:pt idx="9">
                  <c:v>355773</c:v>
                </c:pt>
                <c:pt idx="10">
                  <c:v>670383</c:v>
                </c:pt>
                <c:pt idx="11">
                  <c:v>186359</c:v>
                </c:pt>
              </c:numCache>
            </c:numRef>
          </c:val>
          <c:extLst>
            <c:ext xmlns:c16="http://schemas.microsoft.com/office/drawing/2014/chart" uri="{C3380CC4-5D6E-409C-BE32-E72D297353CC}">
              <c16:uniqueId val="{00000000-62E2-4D01-9E2B-C526AD0FC1BD}"/>
            </c:ext>
          </c:extLst>
        </c:ser>
        <c:ser>
          <c:idx val="1"/>
          <c:order val="1"/>
          <c:tx>
            <c:strRef>
              <c:f>PIVOT!$L$3:$L$4</c:f>
              <c:strCache>
                <c:ptCount val="1"/>
                <c:pt idx="0">
                  <c:v>Completed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PIVOT!$L$5:$L$17</c:f>
              <c:numCache>
                <c:formatCode>General</c:formatCode>
                <c:ptCount val="12"/>
                <c:pt idx="0">
                  <c:v>2350256</c:v>
                </c:pt>
                <c:pt idx="1">
                  <c:v>4307615</c:v>
                </c:pt>
                <c:pt idx="2">
                  <c:v>3336167</c:v>
                </c:pt>
                <c:pt idx="3">
                  <c:v>2433462</c:v>
                </c:pt>
                <c:pt idx="4">
                  <c:v>3654693</c:v>
                </c:pt>
                <c:pt idx="5">
                  <c:v>5076030</c:v>
                </c:pt>
                <c:pt idx="6">
                  <c:v>3547769</c:v>
                </c:pt>
                <c:pt idx="7">
                  <c:v>2706362</c:v>
                </c:pt>
                <c:pt idx="8">
                  <c:v>3798736</c:v>
                </c:pt>
                <c:pt idx="9">
                  <c:v>2419424</c:v>
                </c:pt>
                <c:pt idx="10">
                  <c:v>3384845</c:v>
                </c:pt>
                <c:pt idx="11">
                  <c:v>3835923</c:v>
                </c:pt>
              </c:numCache>
            </c:numRef>
          </c:val>
          <c:extLst>
            <c:ext xmlns:c16="http://schemas.microsoft.com/office/drawing/2014/chart" uri="{C3380CC4-5D6E-409C-BE32-E72D297353CC}">
              <c16:uniqueId val="{00000008-62E2-4D01-9E2B-C526AD0FC1BD}"/>
            </c:ext>
          </c:extLst>
        </c:ser>
        <c:ser>
          <c:idx val="2"/>
          <c:order val="2"/>
          <c:tx>
            <c:strRef>
              <c:f>PIVOT!$M$3:$M$4</c:f>
              <c:strCache>
                <c:ptCount val="1"/>
                <c:pt idx="0">
                  <c:v>Returned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PIVOT!$M$5:$M$17</c:f>
              <c:numCache>
                <c:formatCode>General</c:formatCode>
                <c:ptCount val="12"/>
                <c:pt idx="0">
                  <c:v>316540</c:v>
                </c:pt>
                <c:pt idx="1">
                  <c:v>79809</c:v>
                </c:pt>
                <c:pt idx="3">
                  <c:v>725636</c:v>
                </c:pt>
                <c:pt idx="4">
                  <c:v>346929</c:v>
                </c:pt>
                <c:pt idx="5">
                  <c:v>109188</c:v>
                </c:pt>
                <c:pt idx="6">
                  <c:v>170254</c:v>
                </c:pt>
                <c:pt idx="7">
                  <c:v>640283</c:v>
                </c:pt>
                <c:pt idx="8">
                  <c:v>205048</c:v>
                </c:pt>
                <c:pt idx="9">
                  <c:v>149624</c:v>
                </c:pt>
                <c:pt idx="10">
                  <c:v>48800</c:v>
                </c:pt>
                <c:pt idx="11">
                  <c:v>93972</c:v>
                </c:pt>
              </c:numCache>
            </c:numRef>
          </c:val>
          <c:extLst>
            <c:ext xmlns:c16="http://schemas.microsoft.com/office/drawing/2014/chart" uri="{C3380CC4-5D6E-409C-BE32-E72D297353CC}">
              <c16:uniqueId val="{00000009-62E2-4D01-9E2B-C526AD0FC1BD}"/>
            </c:ext>
          </c:extLst>
        </c:ser>
        <c:dLbls>
          <c:showLegendKey val="0"/>
          <c:showVal val="0"/>
          <c:showCatName val="0"/>
          <c:showSerName val="0"/>
          <c:showPercent val="0"/>
          <c:showBubbleSize val="0"/>
        </c:dLbls>
        <c:gapWidth val="150"/>
        <c:overlap val="100"/>
        <c:axId val="1822415199"/>
        <c:axId val="1834102991"/>
      </c:barChart>
      <c:catAx>
        <c:axId val="1822415199"/>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102991"/>
        <c:crosses val="autoZero"/>
        <c:auto val="1"/>
        <c:lblAlgn val="ctr"/>
        <c:lblOffset val="100"/>
        <c:noMultiLvlLbl val="0"/>
      </c:catAx>
      <c:valAx>
        <c:axId val="18341029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241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[RegionalSalesDashboard.xlsx]PIVOT!Q3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layout>
        <c:manualLayout>
          <c:xMode val="edge"/>
          <c:yMode val="edge"/>
          <c:x val="3.2604111986001771E-2"/>
          <c:y val="1.28681831437736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5080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5080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11213903210315E-2"/>
          <c:y val="0.25850578078566627"/>
          <c:w val="0.94464026289003866"/>
          <c:h val="0.5685033947202881"/>
        </c:manualLayout>
      </c:layout>
      <c:lineChart>
        <c:grouping val="standard"/>
        <c:varyColors val="0"/>
        <c:ser>
          <c:idx val="0"/>
          <c:order val="0"/>
          <c:tx>
            <c:strRef>
              <c:f>PIVOT!$Q$3</c:f>
              <c:strCache>
                <c:ptCount val="1"/>
                <c:pt idx="0">
                  <c:v>Total</c:v>
                </c:pt>
              </c:strCache>
            </c:strRef>
          </c:tx>
          <c:spPr>
            <a:ln w="5080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PIVOT!$Q$4:$Q$16</c:f>
              <c:numCache>
                <c:formatCode>General</c:formatCode>
                <c:ptCount val="12"/>
                <c:pt idx="0">
                  <c:v>2807202</c:v>
                </c:pt>
                <c:pt idx="1">
                  <c:v>5142137</c:v>
                </c:pt>
                <c:pt idx="2">
                  <c:v>3778049</c:v>
                </c:pt>
                <c:pt idx="3">
                  <c:v>3481142</c:v>
                </c:pt>
                <c:pt idx="4">
                  <c:v>4162750</c:v>
                </c:pt>
                <c:pt idx="5">
                  <c:v>5238264</c:v>
                </c:pt>
                <c:pt idx="6">
                  <c:v>4062622</c:v>
                </c:pt>
                <c:pt idx="7">
                  <c:v>3701785</c:v>
                </c:pt>
                <c:pt idx="8">
                  <c:v>4054219</c:v>
                </c:pt>
                <c:pt idx="9">
                  <c:v>2924821</c:v>
                </c:pt>
                <c:pt idx="10">
                  <c:v>4104028</c:v>
                </c:pt>
                <c:pt idx="11">
                  <c:v>4116254</c:v>
                </c:pt>
              </c:numCache>
            </c:numRef>
          </c:val>
          <c:smooth val="0"/>
          <c:extLst>
            <c:ext xmlns:c16="http://schemas.microsoft.com/office/drawing/2014/chart" uri="{C3380CC4-5D6E-409C-BE32-E72D297353CC}">
              <c16:uniqueId val="{00000000-2E8F-4AC7-868B-48802C7BB8F7}"/>
            </c:ext>
          </c:extLst>
        </c:ser>
        <c:dLbls>
          <c:showLegendKey val="0"/>
          <c:showVal val="0"/>
          <c:showCatName val="0"/>
          <c:showSerName val="0"/>
          <c:showPercent val="0"/>
          <c:showBubbleSize val="0"/>
        </c:dLbls>
        <c:marker val="1"/>
        <c:smooth val="0"/>
        <c:axId val="2100796559"/>
        <c:axId val="1834113071"/>
      </c:lineChart>
      <c:catAx>
        <c:axId val="21007965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113071"/>
        <c:crosses val="autoZero"/>
        <c:auto val="1"/>
        <c:lblAlgn val="ctr"/>
        <c:lblOffset val="100"/>
        <c:noMultiLvlLbl val="0"/>
      </c:catAx>
      <c:valAx>
        <c:axId val="1834113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079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38100</xdr:colOff>
      <xdr:row>10</xdr:row>
      <xdr:rowOff>30480</xdr:rowOff>
    </xdr:from>
    <xdr:to>
      <xdr:col>13</xdr:col>
      <xdr:colOff>647700</xdr:colOff>
      <xdr:row>23</xdr:row>
      <xdr:rowOff>110490</xdr:rowOff>
    </xdr:to>
    <xdr:graphicFrame macro="">
      <xdr:nvGraphicFramePr>
        <xdr:cNvPr id="2" name="Chart 1">
          <a:extLst>
            <a:ext uri="{FF2B5EF4-FFF2-40B4-BE49-F238E27FC236}">
              <a16:creationId xmlns:a16="http://schemas.microsoft.com/office/drawing/2014/main" id="{0114E00E-3F90-6068-D6B5-E8CFFCC95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198120</xdr:colOff>
      <xdr:row>17</xdr:row>
      <xdr:rowOff>99060</xdr:rowOff>
    </xdr:from>
    <xdr:to>
      <xdr:col>19</xdr:col>
      <xdr:colOff>563880</xdr:colOff>
      <xdr:row>32</xdr:row>
      <xdr:rowOff>99060</xdr:rowOff>
    </xdr:to>
    <xdr:graphicFrame macro="">
      <xdr:nvGraphicFramePr>
        <xdr:cNvPr id="3" name="Chart 2">
          <a:extLst>
            <a:ext uri="{FF2B5EF4-FFF2-40B4-BE49-F238E27FC236}">
              <a16:creationId xmlns:a16="http://schemas.microsoft.com/office/drawing/2014/main" id="{12C2C036-3A03-C553-7E97-617C2904D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80357</xdr:colOff>
      <xdr:row>25</xdr:row>
      <xdr:rowOff>40871</xdr:rowOff>
    </xdr:from>
    <xdr:to>
      <xdr:col>14</xdr:col>
      <xdr:colOff>603366</xdr:colOff>
      <xdr:row>39</xdr:row>
      <xdr:rowOff>61826</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9B290A19-C510-9CDE-538C-7C2461587D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268297" y="4612871"/>
              <a:ext cx="1833649"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740526</xdr:colOff>
      <xdr:row>24</xdr:row>
      <xdr:rowOff>166255</xdr:rowOff>
    </xdr:from>
    <xdr:to>
      <xdr:col>11</xdr:col>
      <xdr:colOff>279862</xdr:colOff>
      <xdr:row>39</xdr:row>
      <xdr:rowOff>7100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CD510528-5090-A781-B190-AE20665EA0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33806" y="4555375"/>
              <a:ext cx="1825336" cy="2584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25631</xdr:colOff>
      <xdr:row>24</xdr:row>
      <xdr:rowOff>45027</xdr:rowOff>
    </xdr:from>
    <xdr:to>
      <xdr:col>8</xdr:col>
      <xdr:colOff>524395</xdr:colOff>
      <xdr:row>38</xdr:row>
      <xdr:rowOff>65982</xdr:rowOff>
    </xdr:to>
    <mc:AlternateContent xmlns:mc="http://schemas.openxmlformats.org/markup-compatibility/2006">
      <mc:Choice xmlns:a14="http://schemas.microsoft.com/office/drawing/2010/main" Requires="a14">
        <xdr:graphicFrame macro="">
          <xdr:nvGraphicFramePr>
            <xdr:cNvPr id="7" name="SalesAgent">
              <a:extLst>
                <a:ext uri="{FF2B5EF4-FFF2-40B4-BE49-F238E27FC236}">
                  <a16:creationId xmlns:a16="http://schemas.microsoft.com/office/drawing/2014/main" id="{63867DF0-1BC4-BF5B-28D6-8F4F01F8B83D}"/>
                </a:ext>
              </a:extLst>
            </xdr:cNvPr>
            <xdr:cNvGraphicFramePr/>
          </xdr:nvGraphicFramePr>
          <xdr:xfrm>
            <a:off x="0" y="0"/>
            <a:ext cx="0" cy="0"/>
          </xdr:xfrm>
          <a:graphic>
            <a:graphicData uri="http://schemas.microsoft.com/office/drawing/2010/slicer">
              <sle:slicer xmlns:sle="http://schemas.microsoft.com/office/drawing/2010/slicer" name="SalesAgent"/>
            </a:graphicData>
          </a:graphic>
        </xdr:graphicFrame>
      </mc:Choice>
      <mc:Fallback>
        <xdr:sp macro="" textlink="">
          <xdr:nvSpPr>
            <xdr:cNvPr id="0" name=""/>
            <xdr:cNvSpPr>
              <a:spLocks noTextEdit="1"/>
            </xdr:cNvSpPr>
          </xdr:nvSpPr>
          <xdr:spPr>
            <a:xfrm>
              <a:off x="5275811" y="4434147"/>
              <a:ext cx="1832264"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15240</xdr:rowOff>
    </xdr:from>
    <xdr:to>
      <xdr:col>14</xdr:col>
      <xdr:colOff>548640</xdr:colOff>
      <xdr:row>3</xdr:row>
      <xdr:rowOff>129540</xdr:rowOff>
    </xdr:to>
    <xdr:sp macro="" textlink="">
      <xdr:nvSpPr>
        <xdr:cNvPr id="2" name="Rectangle: Rounded Corners 1">
          <a:extLst>
            <a:ext uri="{FF2B5EF4-FFF2-40B4-BE49-F238E27FC236}">
              <a16:creationId xmlns:a16="http://schemas.microsoft.com/office/drawing/2014/main" id="{89DF0101-E0E3-E514-C289-5F742C6D8D62}"/>
            </a:ext>
          </a:extLst>
        </xdr:cNvPr>
        <xdr:cNvSpPr/>
      </xdr:nvSpPr>
      <xdr:spPr>
        <a:xfrm>
          <a:off x="7620" y="15240"/>
          <a:ext cx="13205460" cy="6629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t>Regional Sales Dashboard</a:t>
          </a:r>
        </a:p>
      </xdr:txBody>
    </xdr:sp>
    <xdr:clientData/>
  </xdr:twoCellAnchor>
  <xdr:twoCellAnchor>
    <xdr:from>
      <xdr:col>2</xdr:col>
      <xdr:colOff>215347</xdr:colOff>
      <xdr:row>4</xdr:row>
      <xdr:rowOff>53340</xdr:rowOff>
    </xdr:from>
    <xdr:to>
      <xdr:col>6</xdr:col>
      <xdr:colOff>161212</xdr:colOff>
      <xdr:row>8</xdr:row>
      <xdr:rowOff>53340</xdr:rowOff>
    </xdr:to>
    <xdr:sp macro="" textlink="$H$24">
      <xdr:nvSpPr>
        <xdr:cNvPr id="4" name="Rectangle: Rounded Corners 3">
          <a:extLst>
            <a:ext uri="{FF2B5EF4-FFF2-40B4-BE49-F238E27FC236}">
              <a16:creationId xmlns:a16="http://schemas.microsoft.com/office/drawing/2014/main" id="{F19EF2E3-DABF-8341-4A7B-541F5BE72AFF}"/>
            </a:ext>
          </a:extLst>
        </xdr:cNvPr>
        <xdr:cNvSpPr/>
      </xdr:nvSpPr>
      <xdr:spPr>
        <a:xfrm>
          <a:off x="3230217" y="782210"/>
          <a:ext cx="3118104" cy="72886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E62BE68-3778-42AF-90C8-B6B9740C84DA}" type="TxLink">
            <a:rPr lang="en-US" sz="1800" b="0" i="0" u="none" strike="noStrike">
              <a:solidFill>
                <a:schemeClr val="bg1"/>
              </a:solidFill>
              <a:latin typeface="Aptos Narrow"/>
            </a:rPr>
            <a:t>71</a:t>
          </a:fld>
          <a:endParaRPr lang="en-US" sz="1800">
            <a:solidFill>
              <a:schemeClr val="bg1"/>
            </a:solidFill>
          </a:endParaRPr>
        </a:p>
      </xdr:txBody>
    </xdr:sp>
    <xdr:clientData/>
  </xdr:twoCellAnchor>
  <xdr:twoCellAnchor>
    <xdr:from>
      <xdr:col>6</xdr:col>
      <xdr:colOff>302145</xdr:colOff>
      <xdr:row>4</xdr:row>
      <xdr:rowOff>76200</xdr:rowOff>
    </xdr:from>
    <xdr:to>
      <xdr:col>9</xdr:col>
      <xdr:colOff>686988</xdr:colOff>
      <xdr:row>8</xdr:row>
      <xdr:rowOff>76200</xdr:rowOff>
    </xdr:to>
    <xdr:sp macro="" textlink="$J$24">
      <xdr:nvSpPr>
        <xdr:cNvPr id="5" name="Rectangle: Rounded Corners 4">
          <a:extLst>
            <a:ext uri="{FF2B5EF4-FFF2-40B4-BE49-F238E27FC236}">
              <a16:creationId xmlns:a16="http://schemas.microsoft.com/office/drawing/2014/main" id="{3F054827-1407-089E-2126-7EFEDC9EA963}"/>
            </a:ext>
          </a:extLst>
        </xdr:cNvPr>
        <xdr:cNvSpPr/>
      </xdr:nvSpPr>
      <xdr:spPr>
        <a:xfrm>
          <a:off x="6489254" y="805070"/>
          <a:ext cx="3118104" cy="72886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9E26762-2FB6-4BBD-A9A9-0557C478E086}" type="TxLink">
            <a:rPr lang="en-US" sz="1800" b="0" i="0" u="none" strike="noStrike">
              <a:solidFill>
                <a:schemeClr val="bg1"/>
              </a:solidFill>
              <a:latin typeface="Aptos Narrow"/>
            </a:rPr>
            <a:t>47573.273</a:t>
          </a:fld>
          <a:endParaRPr lang="en-US" sz="1800">
            <a:solidFill>
              <a:schemeClr val="bg1"/>
            </a:solidFill>
          </a:endParaRPr>
        </a:p>
      </xdr:txBody>
    </xdr:sp>
    <xdr:clientData/>
  </xdr:twoCellAnchor>
  <xdr:twoCellAnchor>
    <xdr:from>
      <xdr:col>9</xdr:col>
      <xdr:colOff>806727</xdr:colOff>
      <xdr:row>4</xdr:row>
      <xdr:rowOff>38100</xdr:rowOff>
    </xdr:from>
    <xdr:to>
      <xdr:col>14</xdr:col>
      <xdr:colOff>528962</xdr:colOff>
      <xdr:row>8</xdr:row>
      <xdr:rowOff>38100</xdr:rowOff>
    </xdr:to>
    <xdr:sp macro="" textlink="$K$24">
      <xdr:nvSpPr>
        <xdr:cNvPr id="6" name="Rectangle: Rounded Corners 5">
          <a:extLst>
            <a:ext uri="{FF2B5EF4-FFF2-40B4-BE49-F238E27FC236}">
              <a16:creationId xmlns:a16="http://schemas.microsoft.com/office/drawing/2014/main" id="{2C6EEA53-B07C-8A27-ED9A-6CBCA075E4E9}"/>
            </a:ext>
          </a:extLst>
        </xdr:cNvPr>
        <xdr:cNvSpPr/>
      </xdr:nvSpPr>
      <xdr:spPr>
        <a:xfrm>
          <a:off x="9727097" y="766970"/>
          <a:ext cx="3118104" cy="72886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4383FF2-3DA3-4900-BC6C-301C993F1065}" type="TxLink">
            <a:rPr lang="en-US" sz="1800" b="0" i="0" u="none" strike="noStrike">
              <a:solidFill>
                <a:schemeClr val="bg1"/>
              </a:solidFill>
              <a:latin typeface="Aptos Narrow"/>
            </a:rPr>
            <a:t>Jacket - 9 Returns</a:t>
          </a:fld>
          <a:endParaRPr lang="en-US" sz="1800">
            <a:solidFill>
              <a:schemeClr val="bg1"/>
            </a:solidFill>
          </a:endParaRPr>
        </a:p>
      </xdr:txBody>
    </xdr:sp>
    <xdr:clientData/>
  </xdr:twoCellAnchor>
  <xdr:twoCellAnchor>
    <xdr:from>
      <xdr:col>0</xdr:col>
      <xdr:colOff>0</xdr:colOff>
      <xdr:row>4</xdr:row>
      <xdr:rowOff>72555</xdr:rowOff>
    </xdr:from>
    <xdr:to>
      <xdr:col>2</xdr:col>
      <xdr:colOff>103234</xdr:colOff>
      <xdr:row>8</xdr:row>
      <xdr:rowOff>72555</xdr:rowOff>
    </xdr:to>
    <xdr:sp macro="" textlink="$I$24">
      <xdr:nvSpPr>
        <xdr:cNvPr id="7" name="Rectangle: Rounded Corners 6">
          <a:extLst>
            <a:ext uri="{FF2B5EF4-FFF2-40B4-BE49-F238E27FC236}">
              <a16:creationId xmlns:a16="http://schemas.microsoft.com/office/drawing/2014/main" id="{AF74483E-74C2-5993-7E52-6F0389F5262F}"/>
            </a:ext>
          </a:extLst>
        </xdr:cNvPr>
        <xdr:cNvSpPr/>
      </xdr:nvSpPr>
      <xdr:spPr>
        <a:xfrm>
          <a:off x="0" y="801425"/>
          <a:ext cx="3118104" cy="72886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BB20179-EFBD-41F8-9448-200FA5833887}" type="TxLink">
            <a:rPr lang="en-US" sz="2000" b="0" i="0" u="none" strike="noStrike">
              <a:solidFill>
                <a:schemeClr val="bg1"/>
              </a:solidFill>
              <a:latin typeface="Aptos Narrow"/>
            </a:rPr>
            <a:t>40851282</a:t>
          </a:fld>
          <a:endParaRPr lang="en-US" sz="2000">
            <a:solidFill>
              <a:schemeClr val="bg1"/>
            </a:solidFill>
          </a:endParaRPr>
        </a:p>
      </xdr:txBody>
    </xdr:sp>
    <xdr:clientData/>
  </xdr:twoCellAnchor>
  <xdr:twoCellAnchor>
    <xdr:from>
      <xdr:col>7</xdr:col>
      <xdr:colOff>114301</xdr:colOff>
      <xdr:row>8</xdr:row>
      <xdr:rowOff>114300</xdr:rowOff>
    </xdr:from>
    <xdr:to>
      <xdr:col>14</xdr:col>
      <xdr:colOff>563880</xdr:colOff>
      <xdr:row>21</xdr:row>
      <xdr:rowOff>158288</xdr:rowOff>
    </xdr:to>
    <xdr:graphicFrame macro="">
      <xdr:nvGraphicFramePr>
        <xdr:cNvPr id="8" name="Chart 7">
          <a:extLst>
            <a:ext uri="{FF2B5EF4-FFF2-40B4-BE49-F238E27FC236}">
              <a16:creationId xmlns:a16="http://schemas.microsoft.com/office/drawing/2014/main" id="{0667C5DC-578A-4CEF-BD14-981302364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76200</xdr:rowOff>
    </xdr:from>
    <xdr:to>
      <xdr:col>7</xdr:col>
      <xdr:colOff>30480</xdr:colOff>
      <xdr:row>32</xdr:row>
      <xdr:rowOff>91440</xdr:rowOff>
    </xdr:to>
    <xdr:graphicFrame macro="">
      <xdr:nvGraphicFramePr>
        <xdr:cNvPr id="9" name="Chart 8">
          <a:extLst>
            <a:ext uri="{FF2B5EF4-FFF2-40B4-BE49-F238E27FC236}">
              <a16:creationId xmlns:a16="http://schemas.microsoft.com/office/drawing/2014/main" id="{006513BF-DAC4-468B-8796-D137A0AD2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508222</xdr:colOff>
      <xdr:row>6</xdr:row>
      <xdr:rowOff>111982</xdr:rowOff>
    </xdr:from>
    <xdr:ext cx="2049780" cy="264560"/>
    <xdr:sp macro="" textlink="">
      <xdr:nvSpPr>
        <xdr:cNvPr id="11" name="TextBox 10">
          <a:extLst>
            <a:ext uri="{FF2B5EF4-FFF2-40B4-BE49-F238E27FC236}">
              <a16:creationId xmlns:a16="http://schemas.microsoft.com/office/drawing/2014/main" id="{982F0489-8DF0-1E78-0E9E-0A8B92859C36}"/>
            </a:ext>
          </a:extLst>
        </xdr:cNvPr>
        <xdr:cNvSpPr txBox="1"/>
      </xdr:nvSpPr>
      <xdr:spPr>
        <a:xfrm>
          <a:off x="508222" y="1205286"/>
          <a:ext cx="20497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a:solidFill>
                <a:schemeClr val="bg1"/>
              </a:solidFill>
            </a:rPr>
            <a:t>Total Completed Sales </a:t>
          </a:r>
          <a:endParaRPr lang="en-US" sz="1100">
            <a:solidFill>
              <a:schemeClr val="bg1"/>
            </a:solidFill>
          </a:endParaRPr>
        </a:p>
      </xdr:txBody>
    </xdr:sp>
    <xdr:clientData/>
  </xdr:oneCellAnchor>
  <xdr:oneCellAnchor>
    <xdr:from>
      <xdr:col>2</xdr:col>
      <xdr:colOff>691763</xdr:colOff>
      <xdr:row>6</xdr:row>
      <xdr:rowOff>71231</xdr:rowOff>
    </xdr:from>
    <xdr:ext cx="2049780" cy="264560"/>
    <xdr:sp macro="" textlink="">
      <xdr:nvSpPr>
        <xdr:cNvPr id="12" name="TextBox 11">
          <a:extLst>
            <a:ext uri="{FF2B5EF4-FFF2-40B4-BE49-F238E27FC236}">
              <a16:creationId xmlns:a16="http://schemas.microsoft.com/office/drawing/2014/main" id="{86FFFE70-2478-4607-A467-847CA8871C61}"/>
            </a:ext>
          </a:extLst>
        </xdr:cNvPr>
        <xdr:cNvSpPr txBox="1"/>
      </xdr:nvSpPr>
      <xdr:spPr>
        <a:xfrm>
          <a:off x="3706633" y="1164535"/>
          <a:ext cx="20497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a:solidFill>
                <a:schemeClr val="bg1"/>
              </a:solidFill>
            </a:rPr>
            <a:t>Cancelled Orders</a:t>
          </a:r>
          <a:endParaRPr lang="en-US" sz="1100">
            <a:solidFill>
              <a:schemeClr val="bg1"/>
            </a:solidFill>
          </a:endParaRPr>
        </a:p>
      </xdr:txBody>
    </xdr:sp>
    <xdr:clientData/>
  </xdr:oneCellAnchor>
  <xdr:twoCellAnchor>
    <xdr:from>
      <xdr:col>13</xdr:col>
      <xdr:colOff>0</xdr:colOff>
      <xdr:row>24</xdr:row>
      <xdr:rowOff>0</xdr:rowOff>
    </xdr:from>
    <xdr:to>
      <xdr:col>14</xdr:col>
      <xdr:colOff>76200</xdr:colOff>
      <xdr:row>27</xdr:row>
      <xdr:rowOff>0</xdr:rowOff>
    </xdr:to>
    <xdr:sp macro="" textlink="">
      <xdr:nvSpPr>
        <xdr:cNvPr id="3074" name="Text Box 2">
          <a:extLst>
            <a:ext uri="{FF2B5EF4-FFF2-40B4-BE49-F238E27FC236}">
              <a16:creationId xmlns:a16="http://schemas.microsoft.com/office/drawing/2014/main" id="{1A60DCFA-F5ED-CF12-83F7-5BC1F86C6C19}"/>
            </a:ext>
          </a:extLst>
        </xdr:cNvPr>
        <xdr:cNvSpPr txBox="1">
          <a:spLocks noChangeArrowheads="1"/>
        </xdr:cNvSpPr>
      </xdr:nvSpPr>
      <xdr:spPr bwMode="auto">
        <a:xfrm>
          <a:off x="12054840" y="47091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Aptos Narrow"/>
            </a:rPr>
            <a:t>Cancelled Orders</a:t>
          </a:r>
        </a:p>
      </xdr:txBody>
    </xdr:sp>
    <xdr:clientData/>
  </xdr:twoCellAnchor>
  <xdr:twoCellAnchor>
    <xdr:from>
      <xdr:col>13</xdr:col>
      <xdr:colOff>0</xdr:colOff>
      <xdr:row>24</xdr:row>
      <xdr:rowOff>0</xdr:rowOff>
    </xdr:from>
    <xdr:to>
      <xdr:col>14</xdr:col>
      <xdr:colOff>76200</xdr:colOff>
      <xdr:row>27</xdr:row>
      <xdr:rowOff>0</xdr:rowOff>
    </xdr:to>
    <xdr:sp macro="" textlink="">
      <xdr:nvSpPr>
        <xdr:cNvPr id="3075" name="Text Box 3">
          <a:extLst>
            <a:ext uri="{FF2B5EF4-FFF2-40B4-BE49-F238E27FC236}">
              <a16:creationId xmlns:a16="http://schemas.microsoft.com/office/drawing/2014/main" id="{09CEEEAA-7D8B-67AB-9A3A-9428969B460C}"/>
            </a:ext>
          </a:extLst>
        </xdr:cNvPr>
        <xdr:cNvSpPr txBox="1">
          <a:spLocks noChangeArrowheads="1"/>
        </xdr:cNvSpPr>
      </xdr:nvSpPr>
      <xdr:spPr bwMode="auto">
        <a:xfrm>
          <a:off x="12054840" y="47091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Aptos Narrow"/>
            </a:rPr>
            <a:t>Cancelled Orders</a:t>
          </a:r>
        </a:p>
      </xdr:txBody>
    </xdr:sp>
    <xdr:clientData/>
  </xdr:twoCellAnchor>
  <xdr:twoCellAnchor>
    <xdr:from>
      <xdr:col>13</xdr:col>
      <xdr:colOff>0</xdr:colOff>
      <xdr:row>24</xdr:row>
      <xdr:rowOff>0</xdr:rowOff>
    </xdr:from>
    <xdr:to>
      <xdr:col>14</xdr:col>
      <xdr:colOff>76200</xdr:colOff>
      <xdr:row>27</xdr:row>
      <xdr:rowOff>0</xdr:rowOff>
    </xdr:to>
    <xdr:sp macro="" textlink="">
      <xdr:nvSpPr>
        <xdr:cNvPr id="3076" name="Text Box 4">
          <a:extLst>
            <a:ext uri="{FF2B5EF4-FFF2-40B4-BE49-F238E27FC236}">
              <a16:creationId xmlns:a16="http://schemas.microsoft.com/office/drawing/2014/main" id="{D7C0D127-3CAA-64C2-0524-77E5C8196E23}"/>
            </a:ext>
          </a:extLst>
        </xdr:cNvPr>
        <xdr:cNvSpPr txBox="1">
          <a:spLocks noChangeArrowheads="1"/>
        </xdr:cNvSpPr>
      </xdr:nvSpPr>
      <xdr:spPr bwMode="auto">
        <a:xfrm>
          <a:off x="12054840" y="47091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Aptos Narrow"/>
            </a:rPr>
            <a:t>Cancelled Orders</a:t>
          </a:r>
        </a:p>
      </xdr:txBody>
    </xdr:sp>
    <xdr:clientData/>
  </xdr:twoCellAnchor>
  <xdr:oneCellAnchor>
    <xdr:from>
      <xdr:col>7</xdr:col>
      <xdr:colOff>255104</xdr:colOff>
      <xdr:row>6</xdr:row>
      <xdr:rowOff>105355</xdr:rowOff>
    </xdr:from>
    <xdr:ext cx="1358211" cy="266700"/>
    <xdr:sp macro="" textlink="">
      <xdr:nvSpPr>
        <xdr:cNvPr id="13" name="TextBox 12">
          <a:extLst>
            <a:ext uri="{FF2B5EF4-FFF2-40B4-BE49-F238E27FC236}">
              <a16:creationId xmlns:a16="http://schemas.microsoft.com/office/drawing/2014/main" id="{489402DE-3D41-E69D-8EFC-E6D7E2523417}"/>
            </a:ext>
          </a:extLst>
        </xdr:cNvPr>
        <xdr:cNvSpPr txBox="1"/>
      </xdr:nvSpPr>
      <xdr:spPr>
        <a:xfrm>
          <a:off x="7402995" y="1198659"/>
          <a:ext cx="1358211"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solidFill>
                <a:schemeClr val="bg1"/>
              </a:solidFill>
            </a:rPr>
            <a:t>Average Order Value</a:t>
          </a:r>
          <a:endParaRPr lang="en-US" sz="1100">
            <a:solidFill>
              <a:schemeClr val="bg1"/>
            </a:solidFill>
          </a:endParaRPr>
        </a:p>
      </xdr:txBody>
    </xdr:sp>
    <xdr:clientData/>
  </xdr:oneCellAnchor>
  <xdr:oneCellAnchor>
    <xdr:from>
      <xdr:col>11</xdr:col>
      <xdr:colOff>563880</xdr:colOff>
      <xdr:row>6</xdr:row>
      <xdr:rowOff>99060</xdr:rowOff>
    </xdr:from>
    <xdr:ext cx="922020" cy="264560"/>
    <xdr:sp macro="" textlink="">
      <xdr:nvSpPr>
        <xdr:cNvPr id="14" name="TextBox 13">
          <a:extLst>
            <a:ext uri="{FF2B5EF4-FFF2-40B4-BE49-F238E27FC236}">
              <a16:creationId xmlns:a16="http://schemas.microsoft.com/office/drawing/2014/main" id="{64099988-1245-61C9-383A-39E7229B1748}"/>
            </a:ext>
          </a:extLst>
        </xdr:cNvPr>
        <xdr:cNvSpPr txBox="1"/>
      </xdr:nvSpPr>
      <xdr:spPr>
        <a:xfrm>
          <a:off x="11399520" y="1196340"/>
          <a:ext cx="922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13</xdr:col>
      <xdr:colOff>0</xdr:colOff>
      <xdr:row>24</xdr:row>
      <xdr:rowOff>0</xdr:rowOff>
    </xdr:from>
    <xdr:to>
      <xdr:col>14</xdr:col>
      <xdr:colOff>76200</xdr:colOff>
      <xdr:row>27</xdr:row>
      <xdr:rowOff>0</xdr:rowOff>
    </xdr:to>
    <xdr:sp macro="" textlink="">
      <xdr:nvSpPr>
        <xdr:cNvPr id="3077" name="Text Box 5">
          <a:extLst>
            <a:ext uri="{FF2B5EF4-FFF2-40B4-BE49-F238E27FC236}">
              <a16:creationId xmlns:a16="http://schemas.microsoft.com/office/drawing/2014/main" id="{C1762732-2119-CA10-1241-9BDC31711561}"/>
            </a:ext>
          </a:extLst>
        </xdr:cNvPr>
        <xdr:cNvSpPr txBox="1">
          <a:spLocks noChangeArrowheads="1"/>
        </xdr:cNvSpPr>
      </xdr:nvSpPr>
      <xdr:spPr bwMode="auto">
        <a:xfrm>
          <a:off x="12054840" y="47091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Aptos Narrow"/>
            </a:rPr>
            <a:t>Most Returned Product</a:t>
          </a:r>
        </a:p>
      </xdr:txBody>
    </xdr:sp>
    <xdr:clientData/>
  </xdr:twoCellAnchor>
  <xdr:oneCellAnchor>
    <xdr:from>
      <xdr:col>11</xdr:col>
      <xdr:colOff>102704</xdr:colOff>
      <xdr:row>6</xdr:row>
      <xdr:rowOff>60297</xdr:rowOff>
    </xdr:from>
    <xdr:ext cx="1474827" cy="264560"/>
    <xdr:sp macro="" textlink="">
      <xdr:nvSpPr>
        <xdr:cNvPr id="15" name="TextBox 14">
          <a:extLst>
            <a:ext uri="{FF2B5EF4-FFF2-40B4-BE49-F238E27FC236}">
              <a16:creationId xmlns:a16="http://schemas.microsoft.com/office/drawing/2014/main" id="{25D59C75-3240-249D-FFCB-3305BAE062DA}"/>
            </a:ext>
          </a:extLst>
        </xdr:cNvPr>
        <xdr:cNvSpPr txBox="1"/>
      </xdr:nvSpPr>
      <xdr:spPr>
        <a:xfrm>
          <a:off x="10580204" y="1153601"/>
          <a:ext cx="14748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solidFill>
                <a:schemeClr val="bg1"/>
              </a:solidFill>
            </a:rPr>
            <a:t>Most Returned Product</a:t>
          </a:r>
          <a:endParaRPr lang="en-US" sz="1100">
            <a:solidFill>
              <a:schemeClr val="bg1"/>
            </a:solidFill>
          </a:endParaRPr>
        </a:p>
      </xdr:txBody>
    </xdr:sp>
    <xdr:clientData/>
  </xdr:oneCellAnchor>
  <xdr:twoCellAnchor editAs="oneCell">
    <xdr:from>
      <xdr:col>7</xdr:col>
      <xdr:colOff>228600</xdr:colOff>
      <xdr:row>22</xdr:row>
      <xdr:rowOff>53341</xdr:rowOff>
    </xdr:from>
    <xdr:to>
      <xdr:col>9</xdr:col>
      <xdr:colOff>129540</xdr:colOff>
      <xdr:row>32</xdr:row>
      <xdr:rowOff>114301</xdr:rowOff>
    </xdr:to>
    <mc:AlternateContent xmlns:mc="http://schemas.openxmlformats.org/markup-compatibility/2006">
      <mc:Choice xmlns:a14="http://schemas.microsoft.com/office/drawing/2010/main" Requires="a14">
        <xdr:graphicFrame macro="">
          <xdr:nvGraphicFramePr>
            <xdr:cNvPr id="16" name="SalesAgent 1">
              <a:extLst>
                <a:ext uri="{FF2B5EF4-FFF2-40B4-BE49-F238E27FC236}">
                  <a16:creationId xmlns:a16="http://schemas.microsoft.com/office/drawing/2014/main" id="{437AE077-E69B-42C8-9C61-4D6D2EEFE30E}"/>
                </a:ext>
              </a:extLst>
            </xdr:cNvPr>
            <xdr:cNvGraphicFramePr/>
          </xdr:nvGraphicFramePr>
          <xdr:xfrm>
            <a:off x="0" y="0"/>
            <a:ext cx="0" cy="0"/>
          </xdr:xfrm>
          <a:graphic>
            <a:graphicData uri="http://schemas.microsoft.com/office/drawing/2010/slicer">
              <sle:slicer xmlns:sle="http://schemas.microsoft.com/office/drawing/2010/slicer" name="SalesAgent 1"/>
            </a:graphicData>
          </a:graphic>
        </xdr:graphicFrame>
      </mc:Choice>
      <mc:Fallback>
        <xdr:sp macro="" textlink="">
          <xdr:nvSpPr>
            <xdr:cNvPr id="0" name=""/>
            <xdr:cNvSpPr>
              <a:spLocks noTextEdit="1"/>
            </xdr:cNvSpPr>
          </xdr:nvSpPr>
          <xdr:spPr>
            <a:xfrm>
              <a:off x="7343361" y="4409993"/>
              <a:ext cx="1673418" cy="1883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259080</xdr:colOff>
      <xdr:row>22</xdr:row>
      <xdr:rowOff>45721</xdr:rowOff>
    </xdr:from>
    <xdr:to>
      <xdr:col>11</xdr:col>
      <xdr:colOff>529935</xdr:colOff>
      <xdr:row>32</xdr:row>
      <xdr:rowOff>121921</xdr:rowOff>
    </xdr:to>
    <mc:AlternateContent xmlns:mc="http://schemas.openxmlformats.org/markup-compatibility/2006">
      <mc:Choice xmlns:a14="http://schemas.microsoft.com/office/drawing/2010/main" Requires="a14">
        <xdr:graphicFrame macro="">
          <xdr:nvGraphicFramePr>
            <xdr:cNvPr id="17" name="Category 1">
              <a:extLst>
                <a:ext uri="{FF2B5EF4-FFF2-40B4-BE49-F238E27FC236}">
                  <a16:creationId xmlns:a16="http://schemas.microsoft.com/office/drawing/2014/main" id="{B63C5955-B5E6-4214-BD57-81C0DE00A41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146319" y="4402373"/>
              <a:ext cx="1827986" cy="1898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xdr:colOff>
      <xdr:row>22</xdr:row>
      <xdr:rowOff>30481</xdr:rowOff>
    </xdr:from>
    <xdr:to>
      <xdr:col>15</xdr:col>
      <xdr:colOff>20089</xdr:colOff>
      <xdr:row>32</xdr:row>
      <xdr:rowOff>114301</xdr:rowOff>
    </xdr:to>
    <mc:AlternateContent xmlns:mc="http://schemas.openxmlformats.org/markup-compatibility/2006">
      <mc:Choice xmlns:a14="http://schemas.microsoft.com/office/drawing/2010/main" Requires="a14">
        <xdr:graphicFrame macro="">
          <xdr:nvGraphicFramePr>
            <xdr:cNvPr id="18" name="Region 1">
              <a:extLst>
                <a:ext uri="{FF2B5EF4-FFF2-40B4-BE49-F238E27FC236}">
                  <a16:creationId xmlns:a16="http://schemas.microsoft.com/office/drawing/2014/main" id="{025FF15A-DE58-4103-B146-409002A8B5A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072523" y="4387133"/>
              <a:ext cx="1843588" cy="1905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efreshedDate="46207.306964467592" createdVersion="8" refreshedVersion="8" minRefreshableVersion="3" recordCount="1000" xr:uid="{C0BF1FAD-92BE-4A25-90CC-F7A9D6A3BFA7}">
  <cacheSource type="worksheet">
    <worksheetSource ref="A1:K1001" sheet="RegionalSales2025 (1)"/>
  </cacheSource>
  <cacheFields count="13">
    <cacheField name="OrderID" numFmtId="0">
      <sharedItems count="1000">
        <s v="ORD000001"/>
        <s v="ORD000002"/>
        <s v="ORD000003"/>
        <s v="ORD000004"/>
        <s v="ORD000005"/>
        <s v="ORD000006"/>
        <s v="ORD000007"/>
        <s v="ORD000008"/>
        <s v="ORD000009"/>
        <s v="ORD000010"/>
        <s v="ORD000011"/>
        <s v="ORD000012"/>
        <s v="ORD000013"/>
        <s v="ORD000014"/>
        <s v="ORD000015"/>
        <s v="ORD000016"/>
        <s v="ORD000017"/>
        <s v="ORD000018"/>
        <s v="ORD000019"/>
        <s v="ORD000020"/>
        <s v="ORD000021"/>
        <s v="ORD000022"/>
        <s v="ORD000023"/>
        <s v="ORD000024"/>
        <s v="ORD000025"/>
        <s v="ORD000026"/>
        <s v="ORD000027"/>
        <s v="ORD000028"/>
        <s v="ORD000029"/>
        <s v="ORD000030"/>
        <s v="ORD000031"/>
        <s v="ORD000032"/>
        <s v="ORD000033"/>
        <s v="ORD000034"/>
        <s v="ORD000035"/>
        <s v="ORD000036"/>
        <s v="ORD000037"/>
        <s v="ORD000038"/>
        <s v="ORD000039"/>
        <s v="ORD000040"/>
        <s v="ORD000041"/>
        <s v="ORD000042"/>
        <s v="ORD000043"/>
        <s v="ORD000044"/>
        <s v="ORD000045"/>
        <s v="ORD000046"/>
        <s v="ORD000047"/>
        <s v="ORD000048"/>
        <s v="ORD000049"/>
        <s v="ORD000050"/>
        <s v="ORD000051"/>
        <s v="ORD000052"/>
        <s v="ORD000053"/>
        <s v="ORD000054"/>
        <s v="ORD000055"/>
        <s v="ORD000056"/>
        <s v="ORD000057"/>
        <s v="ORD000058"/>
        <s v="ORD000059"/>
        <s v="ORD000060"/>
        <s v="ORD000061"/>
        <s v="ORD000062"/>
        <s v="ORD000063"/>
        <s v="ORD000064"/>
        <s v="ORD000065"/>
        <s v="ORD000066"/>
        <s v="ORD000067"/>
        <s v="ORD000068"/>
        <s v="ORD000069"/>
        <s v="ORD000070"/>
        <s v="ORD000071"/>
        <s v="ORD000072"/>
        <s v="ORD000073"/>
        <s v="ORD000074"/>
        <s v="ORD000075"/>
        <s v="ORD000076"/>
        <s v="ORD000077"/>
        <s v="ORD000078"/>
        <s v="ORD000079"/>
        <s v="ORD000080"/>
        <s v="ORD000081"/>
        <s v="ORD000082"/>
        <s v="ORD000083"/>
        <s v="ORD000084"/>
        <s v="ORD000085"/>
        <s v="ORD000086"/>
        <s v="ORD000087"/>
        <s v="ORD000088"/>
        <s v="ORD000089"/>
        <s v="ORD000090"/>
        <s v="ORD000091"/>
        <s v="ORD000092"/>
        <s v="ORD000093"/>
        <s v="ORD000094"/>
        <s v="ORD000095"/>
        <s v="ORD000096"/>
        <s v="ORD000097"/>
        <s v="ORD000098"/>
        <s v="ORD000099"/>
        <s v="ORD000100"/>
        <s v="ORD000101"/>
        <s v="ORD000102"/>
        <s v="ORD000103"/>
        <s v="ORD000104"/>
        <s v="ORD000105"/>
        <s v="ORD000106"/>
        <s v="ORD000107"/>
        <s v="ORD000108"/>
        <s v="ORD000109"/>
        <s v="ORD000110"/>
        <s v="ORD000111"/>
        <s v="ORD000112"/>
        <s v="ORD000113"/>
        <s v="ORD000114"/>
        <s v="ORD000115"/>
        <s v="ORD000116"/>
        <s v="ORD000117"/>
        <s v="ORD000118"/>
        <s v="ORD000119"/>
        <s v="ORD000120"/>
        <s v="ORD000121"/>
        <s v="ORD000122"/>
        <s v="ORD000123"/>
        <s v="ORD000124"/>
        <s v="ORD000125"/>
        <s v="ORD000126"/>
        <s v="ORD000127"/>
        <s v="ORD000128"/>
        <s v="ORD000129"/>
        <s v="ORD000130"/>
        <s v="ORD000131"/>
        <s v="ORD000132"/>
        <s v="ORD000133"/>
        <s v="ORD000134"/>
        <s v="ORD000135"/>
        <s v="ORD000136"/>
        <s v="ORD000137"/>
        <s v="ORD000138"/>
        <s v="ORD000139"/>
        <s v="ORD000140"/>
        <s v="ORD000141"/>
        <s v="ORD000142"/>
        <s v="ORD000143"/>
        <s v="ORD000144"/>
        <s v="ORD000145"/>
        <s v="ORD000146"/>
        <s v="ORD000147"/>
        <s v="ORD000148"/>
        <s v="ORD000149"/>
        <s v="ORD000150"/>
        <s v="ORD000151"/>
        <s v="ORD000152"/>
        <s v="ORD000153"/>
        <s v="ORD000154"/>
        <s v="ORD000155"/>
        <s v="ORD000156"/>
        <s v="ORD000157"/>
        <s v="ORD000158"/>
        <s v="ORD000159"/>
        <s v="ORD000160"/>
        <s v="ORD000161"/>
        <s v="ORD000162"/>
        <s v="ORD000163"/>
        <s v="ORD000164"/>
        <s v="ORD000165"/>
        <s v="ORD000166"/>
        <s v="ORD000167"/>
        <s v="ORD000168"/>
        <s v="ORD000169"/>
        <s v="ORD000170"/>
        <s v="ORD000171"/>
        <s v="ORD000172"/>
        <s v="ORD000173"/>
        <s v="ORD000174"/>
        <s v="ORD000175"/>
        <s v="ORD000176"/>
        <s v="ORD000177"/>
        <s v="ORD000178"/>
        <s v="ORD000179"/>
        <s v="ORD000180"/>
        <s v="ORD000181"/>
        <s v="ORD000182"/>
        <s v="ORD000183"/>
        <s v="ORD000184"/>
        <s v="ORD000185"/>
        <s v="ORD000186"/>
        <s v="ORD000187"/>
        <s v="ORD000188"/>
        <s v="ORD000189"/>
        <s v="ORD000190"/>
        <s v="ORD000191"/>
        <s v="ORD000192"/>
        <s v="ORD000193"/>
        <s v="ORD000194"/>
        <s v="ORD000195"/>
        <s v="ORD000196"/>
        <s v="ORD000197"/>
        <s v="ORD000198"/>
        <s v="ORD000199"/>
        <s v="ORD000200"/>
        <s v="ORD000201"/>
        <s v="ORD000202"/>
        <s v="ORD000203"/>
        <s v="ORD000204"/>
        <s v="ORD000205"/>
        <s v="ORD000206"/>
        <s v="ORD000207"/>
        <s v="ORD000208"/>
        <s v="ORD000209"/>
        <s v="ORD000210"/>
        <s v="ORD000211"/>
        <s v="ORD000212"/>
        <s v="ORD000213"/>
        <s v="ORD000214"/>
        <s v="ORD000215"/>
        <s v="ORD000216"/>
        <s v="ORD000217"/>
        <s v="ORD000218"/>
        <s v="ORD000219"/>
        <s v="ORD000220"/>
        <s v="ORD000221"/>
        <s v="ORD000222"/>
        <s v="ORD000223"/>
        <s v="ORD000224"/>
        <s v="ORD000225"/>
        <s v="ORD000226"/>
        <s v="ORD000227"/>
        <s v="ORD000228"/>
        <s v="ORD000229"/>
        <s v="ORD000230"/>
        <s v="ORD000231"/>
        <s v="ORD000232"/>
        <s v="ORD000233"/>
        <s v="ORD000234"/>
        <s v="ORD000235"/>
        <s v="ORD000236"/>
        <s v="ORD000237"/>
        <s v="ORD000238"/>
        <s v="ORD000239"/>
        <s v="ORD000240"/>
        <s v="ORD000241"/>
        <s v="ORD000242"/>
        <s v="ORD000243"/>
        <s v="ORD000244"/>
        <s v="ORD000245"/>
        <s v="ORD000246"/>
        <s v="ORD000247"/>
        <s v="ORD000248"/>
        <s v="ORD000249"/>
        <s v="ORD000250"/>
        <s v="ORD000251"/>
        <s v="ORD000252"/>
        <s v="ORD000253"/>
        <s v="ORD000254"/>
        <s v="ORD000255"/>
        <s v="ORD000256"/>
        <s v="ORD000257"/>
        <s v="ORD000258"/>
        <s v="ORD000259"/>
        <s v="ORD000260"/>
        <s v="ORD000261"/>
        <s v="ORD000262"/>
        <s v="ORD000263"/>
        <s v="ORD000264"/>
        <s v="ORD000265"/>
        <s v="ORD000266"/>
        <s v="ORD000267"/>
        <s v="ORD000268"/>
        <s v="ORD000269"/>
        <s v="ORD000270"/>
        <s v="ORD000271"/>
        <s v="ORD000272"/>
        <s v="ORD000273"/>
        <s v="ORD000274"/>
        <s v="ORD000275"/>
        <s v="ORD000276"/>
        <s v="ORD000277"/>
        <s v="ORD000278"/>
        <s v="ORD000279"/>
        <s v="ORD000280"/>
        <s v="ORD000281"/>
        <s v="ORD000282"/>
        <s v="ORD000283"/>
        <s v="ORD000284"/>
        <s v="ORD000285"/>
        <s v="ORD000286"/>
        <s v="ORD000287"/>
        <s v="ORD000288"/>
        <s v="ORD000289"/>
        <s v="ORD000290"/>
        <s v="ORD000291"/>
        <s v="ORD000292"/>
        <s v="ORD000293"/>
        <s v="ORD000294"/>
        <s v="ORD000295"/>
        <s v="ORD000296"/>
        <s v="ORD000297"/>
        <s v="ORD000298"/>
        <s v="ORD000299"/>
        <s v="ORD000300"/>
        <s v="ORD000301"/>
        <s v="ORD000302"/>
        <s v="ORD000303"/>
        <s v="ORD000304"/>
        <s v="ORD000305"/>
        <s v="ORD000306"/>
        <s v="ORD000307"/>
        <s v="ORD000308"/>
        <s v="ORD000309"/>
        <s v="ORD000310"/>
        <s v="ORD000311"/>
        <s v="ORD000312"/>
        <s v="ORD000313"/>
        <s v="ORD000314"/>
        <s v="ORD000315"/>
        <s v="ORD000316"/>
        <s v="ORD000317"/>
        <s v="ORD000318"/>
        <s v="ORD000319"/>
        <s v="ORD000320"/>
        <s v="ORD000321"/>
        <s v="ORD000322"/>
        <s v="ORD000323"/>
        <s v="ORD000324"/>
        <s v="ORD000325"/>
        <s v="ORD000326"/>
        <s v="ORD000327"/>
        <s v="ORD000328"/>
        <s v="ORD000329"/>
        <s v="ORD000330"/>
        <s v="ORD000331"/>
        <s v="ORD000332"/>
        <s v="ORD000333"/>
        <s v="ORD000334"/>
        <s v="ORD000335"/>
        <s v="ORD000336"/>
        <s v="ORD000337"/>
        <s v="ORD000338"/>
        <s v="ORD000339"/>
        <s v="ORD000340"/>
        <s v="ORD000341"/>
        <s v="ORD000342"/>
        <s v="ORD000343"/>
        <s v="ORD000344"/>
        <s v="ORD000345"/>
        <s v="ORD000346"/>
        <s v="ORD000347"/>
        <s v="ORD000348"/>
        <s v="ORD000349"/>
        <s v="ORD000350"/>
        <s v="ORD000351"/>
        <s v="ORD000352"/>
        <s v="ORD000353"/>
        <s v="ORD000354"/>
        <s v="ORD000355"/>
        <s v="ORD000356"/>
        <s v="ORD000357"/>
        <s v="ORD000358"/>
        <s v="ORD000359"/>
        <s v="ORD000360"/>
        <s v="ORD000361"/>
        <s v="ORD000362"/>
        <s v="ORD000363"/>
        <s v="ORD000364"/>
        <s v="ORD000365"/>
        <s v="ORD000366"/>
        <s v="ORD000367"/>
        <s v="ORD000368"/>
        <s v="ORD000369"/>
        <s v="ORD000370"/>
        <s v="ORD000371"/>
        <s v="ORD000372"/>
        <s v="ORD000373"/>
        <s v="ORD000374"/>
        <s v="ORD000375"/>
        <s v="ORD000376"/>
        <s v="ORD000377"/>
        <s v="ORD000378"/>
        <s v="ORD000379"/>
        <s v="ORD000380"/>
        <s v="ORD000381"/>
        <s v="ORD000382"/>
        <s v="ORD000383"/>
        <s v="ORD000384"/>
        <s v="ORD000385"/>
        <s v="ORD000386"/>
        <s v="ORD000387"/>
        <s v="ORD000388"/>
        <s v="ORD000389"/>
        <s v="ORD000390"/>
        <s v="ORD000391"/>
        <s v="ORD000392"/>
        <s v="ORD000393"/>
        <s v="ORD000394"/>
        <s v="ORD000395"/>
        <s v="ORD000396"/>
        <s v="ORD000397"/>
        <s v="ORD000398"/>
        <s v="ORD000399"/>
        <s v="ORD000400"/>
        <s v="ORD000401"/>
        <s v="ORD000402"/>
        <s v="ORD000403"/>
        <s v="ORD000404"/>
        <s v="ORD000405"/>
        <s v="ORD000406"/>
        <s v="ORD000407"/>
        <s v="ORD000408"/>
        <s v="ORD000409"/>
        <s v="ORD000410"/>
        <s v="ORD000411"/>
        <s v="ORD000412"/>
        <s v="ORD000413"/>
        <s v="ORD000414"/>
        <s v="ORD000415"/>
        <s v="ORD000416"/>
        <s v="ORD000417"/>
        <s v="ORD000418"/>
        <s v="ORD000419"/>
        <s v="ORD000420"/>
        <s v="ORD000421"/>
        <s v="ORD000422"/>
        <s v="ORD000423"/>
        <s v="ORD000424"/>
        <s v="ORD000425"/>
        <s v="ORD000426"/>
        <s v="ORD000427"/>
        <s v="ORD000428"/>
        <s v="ORD000429"/>
        <s v="ORD000430"/>
        <s v="ORD000431"/>
        <s v="ORD000432"/>
        <s v="ORD000433"/>
        <s v="ORD000434"/>
        <s v="ORD000435"/>
        <s v="ORD000436"/>
        <s v="ORD000437"/>
        <s v="ORD000438"/>
        <s v="ORD000439"/>
        <s v="ORD000440"/>
        <s v="ORD000441"/>
        <s v="ORD000442"/>
        <s v="ORD000443"/>
        <s v="ORD000444"/>
        <s v="ORD000445"/>
        <s v="ORD000446"/>
        <s v="ORD000447"/>
        <s v="ORD000448"/>
        <s v="ORD000449"/>
        <s v="ORD000450"/>
        <s v="ORD000451"/>
        <s v="ORD000452"/>
        <s v="ORD000453"/>
        <s v="ORD000454"/>
        <s v="ORD000455"/>
        <s v="ORD000456"/>
        <s v="ORD000457"/>
        <s v="ORD000458"/>
        <s v="ORD000459"/>
        <s v="ORD000460"/>
        <s v="ORD000461"/>
        <s v="ORD000462"/>
        <s v="ORD000463"/>
        <s v="ORD000464"/>
        <s v="ORD000465"/>
        <s v="ORD000466"/>
        <s v="ORD000467"/>
        <s v="ORD000468"/>
        <s v="ORD000469"/>
        <s v="ORD000470"/>
        <s v="ORD000471"/>
        <s v="ORD000472"/>
        <s v="ORD000473"/>
        <s v="ORD000474"/>
        <s v="ORD000475"/>
        <s v="ORD000476"/>
        <s v="ORD000477"/>
        <s v="ORD000478"/>
        <s v="ORD000479"/>
        <s v="ORD000480"/>
        <s v="ORD000481"/>
        <s v="ORD000482"/>
        <s v="ORD000483"/>
        <s v="ORD000484"/>
        <s v="ORD000485"/>
        <s v="ORD000486"/>
        <s v="ORD000487"/>
        <s v="ORD000488"/>
        <s v="ORD000489"/>
        <s v="ORD000490"/>
        <s v="ORD000491"/>
        <s v="ORD000492"/>
        <s v="ORD000493"/>
        <s v="ORD000494"/>
        <s v="ORD000495"/>
        <s v="ORD000496"/>
        <s v="ORD000497"/>
        <s v="ORD000498"/>
        <s v="ORD000499"/>
        <s v="ORD000500"/>
        <s v="ORD000501"/>
        <s v="ORD000502"/>
        <s v="ORD000503"/>
        <s v="ORD000504"/>
        <s v="ORD000505"/>
        <s v="ORD000506"/>
        <s v="ORD000507"/>
        <s v="ORD000508"/>
        <s v="ORD000509"/>
        <s v="ORD000510"/>
        <s v="ORD000511"/>
        <s v="ORD000512"/>
        <s v="ORD000513"/>
        <s v="ORD000514"/>
        <s v="ORD000515"/>
        <s v="ORD000516"/>
        <s v="ORD000517"/>
        <s v="ORD000518"/>
        <s v="ORD000519"/>
        <s v="ORD000520"/>
        <s v="ORD000521"/>
        <s v="ORD000522"/>
        <s v="ORD000523"/>
        <s v="ORD000524"/>
        <s v="ORD000525"/>
        <s v="ORD000526"/>
        <s v="ORD000527"/>
        <s v="ORD000528"/>
        <s v="ORD000529"/>
        <s v="ORD000530"/>
        <s v="ORD000531"/>
        <s v="ORD000532"/>
        <s v="ORD000533"/>
        <s v="ORD000534"/>
        <s v="ORD000535"/>
        <s v="ORD000536"/>
        <s v="ORD000537"/>
        <s v="ORD000538"/>
        <s v="ORD000539"/>
        <s v="ORD000540"/>
        <s v="ORD000541"/>
        <s v="ORD000542"/>
        <s v="ORD000543"/>
        <s v="ORD000544"/>
        <s v="ORD000545"/>
        <s v="ORD000546"/>
        <s v="ORD000547"/>
        <s v="ORD000548"/>
        <s v="ORD000549"/>
        <s v="ORD000550"/>
        <s v="ORD000551"/>
        <s v="ORD000552"/>
        <s v="ORD000553"/>
        <s v="ORD000554"/>
        <s v="ORD000555"/>
        <s v="ORD000556"/>
        <s v="ORD000557"/>
        <s v="ORD000558"/>
        <s v="ORD000559"/>
        <s v="ORD000560"/>
        <s v="ORD000561"/>
        <s v="ORD000562"/>
        <s v="ORD000563"/>
        <s v="ORD000564"/>
        <s v="ORD000565"/>
        <s v="ORD000566"/>
        <s v="ORD000567"/>
        <s v="ORD000568"/>
        <s v="ORD000569"/>
        <s v="ORD000570"/>
        <s v="ORD000571"/>
        <s v="ORD000572"/>
        <s v="ORD000573"/>
        <s v="ORD000574"/>
        <s v="ORD000575"/>
        <s v="ORD000576"/>
        <s v="ORD000577"/>
        <s v="ORD000578"/>
        <s v="ORD000579"/>
        <s v="ORD000580"/>
        <s v="ORD000581"/>
        <s v="ORD000582"/>
        <s v="ORD000583"/>
        <s v="ORD000584"/>
        <s v="ORD000585"/>
        <s v="ORD000586"/>
        <s v="ORD000587"/>
        <s v="ORD000588"/>
        <s v="ORD000589"/>
        <s v="ORD000590"/>
        <s v="ORD000591"/>
        <s v="ORD000592"/>
        <s v="ORD000593"/>
        <s v="ORD000594"/>
        <s v="ORD000595"/>
        <s v="ORD000596"/>
        <s v="ORD000597"/>
        <s v="ORD000598"/>
        <s v="ORD000599"/>
        <s v="ORD000600"/>
        <s v="ORD000601"/>
        <s v="ORD000602"/>
        <s v="ORD000603"/>
        <s v="ORD000604"/>
        <s v="ORD000605"/>
        <s v="ORD000606"/>
        <s v="ORD000607"/>
        <s v="ORD000608"/>
        <s v="ORD000609"/>
        <s v="ORD000610"/>
        <s v="ORD000611"/>
        <s v="ORD000612"/>
        <s v="ORD000613"/>
        <s v="ORD000614"/>
        <s v="ORD000615"/>
        <s v="ORD000616"/>
        <s v="ORD000617"/>
        <s v="ORD000618"/>
        <s v="ORD000619"/>
        <s v="ORD000620"/>
        <s v="ORD000621"/>
        <s v="ORD000622"/>
        <s v="ORD000623"/>
        <s v="ORD000624"/>
        <s v="ORD000625"/>
        <s v="ORD000626"/>
        <s v="ORD000627"/>
        <s v="ORD000628"/>
        <s v="ORD000629"/>
        <s v="ORD000630"/>
        <s v="ORD000631"/>
        <s v="ORD000632"/>
        <s v="ORD000633"/>
        <s v="ORD000634"/>
        <s v="ORD000635"/>
        <s v="ORD000636"/>
        <s v="ORD000637"/>
        <s v="ORD000638"/>
        <s v="ORD000639"/>
        <s v="ORD000640"/>
        <s v="ORD000641"/>
        <s v="ORD000642"/>
        <s v="ORD000643"/>
        <s v="ORD000644"/>
        <s v="ORD000645"/>
        <s v="ORD000646"/>
        <s v="ORD000647"/>
        <s v="ORD000648"/>
        <s v="ORD000649"/>
        <s v="ORD000650"/>
        <s v="ORD000651"/>
        <s v="ORD000652"/>
        <s v="ORD000653"/>
        <s v="ORD000654"/>
        <s v="ORD000655"/>
        <s v="ORD000656"/>
        <s v="ORD000657"/>
        <s v="ORD000658"/>
        <s v="ORD000659"/>
        <s v="ORD000660"/>
        <s v="ORD000661"/>
        <s v="ORD000662"/>
        <s v="ORD000663"/>
        <s v="ORD000664"/>
        <s v="ORD000665"/>
        <s v="ORD000666"/>
        <s v="ORD000667"/>
        <s v="ORD000668"/>
        <s v="ORD000669"/>
        <s v="ORD000670"/>
        <s v="ORD000671"/>
        <s v="ORD000672"/>
        <s v="ORD000673"/>
        <s v="ORD000674"/>
        <s v="ORD000675"/>
        <s v="ORD000676"/>
        <s v="ORD000677"/>
        <s v="ORD000678"/>
        <s v="ORD000679"/>
        <s v="ORD000680"/>
        <s v="ORD000681"/>
        <s v="ORD000682"/>
        <s v="ORD000683"/>
        <s v="ORD000684"/>
        <s v="ORD000685"/>
        <s v="ORD000686"/>
        <s v="ORD000687"/>
        <s v="ORD000688"/>
        <s v="ORD000689"/>
        <s v="ORD000690"/>
        <s v="ORD000691"/>
        <s v="ORD000692"/>
        <s v="ORD000693"/>
        <s v="ORD000694"/>
        <s v="ORD000695"/>
        <s v="ORD000696"/>
        <s v="ORD000697"/>
        <s v="ORD000698"/>
        <s v="ORD000699"/>
        <s v="ORD000700"/>
        <s v="ORD000701"/>
        <s v="ORD000702"/>
        <s v="ORD000703"/>
        <s v="ORD000704"/>
        <s v="ORD000705"/>
        <s v="ORD000706"/>
        <s v="ORD000707"/>
        <s v="ORD000708"/>
        <s v="ORD000709"/>
        <s v="ORD000710"/>
        <s v="ORD000711"/>
        <s v="ORD000712"/>
        <s v="ORD000713"/>
        <s v="ORD000714"/>
        <s v="ORD000715"/>
        <s v="ORD000716"/>
        <s v="ORD000717"/>
        <s v="ORD000718"/>
        <s v="ORD000719"/>
        <s v="ORD000720"/>
        <s v="ORD000721"/>
        <s v="ORD000722"/>
        <s v="ORD000723"/>
        <s v="ORD000724"/>
        <s v="ORD000725"/>
        <s v="ORD000726"/>
        <s v="ORD000727"/>
        <s v="ORD000728"/>
        <s v="ORD000729"/>
        <s v="ORD000730"/>
        <s v="ORD000731"/>
        <s v="ORD000732"/>
        <s v="ORD000733"/>
        <s v="ORD000734"/>
        <s v="ORD000735"/>
        <s v="ORD000736"/>
        <s v="ORD000737"/>
        <s v="ORD000738"/>
        <s v="ORD000739"/>
        <s v="ORD000740"/>
        <s v="ORD000741"/>
        <s v="ORD000742"/>
        <s v="ORD000743"/>
        <s v="ORD000744"/>
        <s v="ORD000745"/>
        <s v="ORD000746"/>
        <s v="ORD000747"/>
        <s v="ORD000748"/>
        <s v="ORD000749"/>
        <s v="ORD000750"/>
        <s v="ORD000751"/>
        <s v="ORD000752"/>
        <s v="ORD000753"/>
        <s v="ORD000754"/>
        <s v="ORD000755"/>
        <s v="ORD000756"/>
        <s v="ORD000757"/>
        <s v="ORD000758"/>
        <s v="ORD000759"/>
        <s v="ORD000760"/>
        <s v="ORD000761"/>
        <s v="ORD000762"/>
        <s v="ORD000763"/>
        <s v="ORD000764"/>
        <s v="ORD000765"/>
        <s v="ORD000766"/>
        <s v="ORD000767"/>
        <s v="ORD000768"/>
        <s v="ORD000769"/>
        <s v="ORD000770"/>
        <s v="ORD000771"/>
        <s v="ORD000772"/>
        <s v="ORD000773"/>
        <s v="ORD000774"/>
        <s v="ORD000775"/>
        <s v="ORD000776"/>
        <s v="ORD000777"/>
        <s v="ORD000778"/>
        <s v="ORD000779"/>
        <s v="ORD000780"/>
        <s v="ORD000781"/>
        <s v="ORD000782"/>
        <s v="ORD000783"/>
        <s v="ORD000784"/>
        <s v="ORD000785"/>
        <s v="ORD000786"/>
        <s v="ORD000787"/>
        <s v="ORD000788"/>
        <s v="ORD000789"/>
        <s v="ORD000790"/>
        <s v="ORD000791"/>
        <s v="ORD000792"/>
        <s v="ORD000793"/>
        <s v="ORD000794"/>
        <s v="ORD000795"/>
        <s v="ORD000796"/>
        <s v="ORD000797"/>
        <s v="ORD000798"/>
        <s v="ORD000799"/>
        <s v="ORD000800"/>
        <s v="ORD000801"/>
        <s v="ORD000802"/>
        <s v="ORD000803"/>
        <s v="ORD000804"/>
        <s v="ORD000805"/>
        <s v="ORD000806"/>
        <s v="ORD000807"/>
        <s v="ORD000808"/>
        <s v="ORD000809"/>
        <s v="ORD000810"/>
        <s v="ORD000811"/>
        <s v="ORD000812"/>
        <s v="ORD000813"/>
        <s v="ORD000814"/>
        <s v="ORD000815"/>
        <s v="ORD000816"/>
        <s v="ORD000817"/>
        <s v="ORD000818"/>
        <s v="ORD000819"/>
        <s v="ORD000820"/>
        <s v="ORD000821"/>
        <s v="ORD000822"/>
        <s v="ORD000823"/>
        <s v="ORD000824"/>
        <s v="ORD000825"/>
        <s v="ORD000826"/>
        <s v="ORD000827"/>
        <s v="ORD000828"/>
        <s v="ORD000829"/>
        <s v="ORD000830"/>
        <s v="ORD000831"/>
        <s v="ORD000832"/>
        <s v="ORD000833"/>
        <s v="ORD000834"/>
        <s v="ORD000835"/>
        <s v="ORD000836"/>
        <s v="ORD000837"/>
        <s v="ORD000838"/>
        <s v="ORD000839"/>
        <s v="ORD000840"/>
        <s v="ORD000841"/>
        <s v="ORD000842"/>
        <s v="ORD000843"/>
        <s v="ORD000844"/>
        <s v="ORD000845"/>
        <s v="ORD000846"/>
        <s v="ORD000847"/>
        <s v="ORD000848"/>
        <s v="ORD000849"/>
        <s v="ORD000850"/>
        <s v="ORD000851"/>
        <s v="ORD000852"/>
        <s v="ORD000853"/>
        <s v="ORD000854"/>
        <s v="ORD000855"/>
        <s v="ORD000856"/>
        <s v="ORD000857"/>
        <s v="ORD000858"/>
        <s v="ORD000859"/>
        <s v="ORD000860"/>
        <s v="ORD000861"/>
        <s v="ORD000862"/>
        <s v="ORD000863"/>
        <s v="ORD000864"/>
        <s v="ORD000865"/>
        <s v="ORD000866"/>
        <s v="ORD000867"/>
        <s v="ORD000868"/>
        <s v="ORD000869"/>
        <s v="ORD000870"/>
        <s v="ORD000871"/>
        <s v="ORD000872"/>
        <s v="ORD000873"/>
        <s v="ORD000874"/>
        <s v="ORD000875"/>
        <s v="ORD000876"/>
        <s v="ORD000877"/>
        <s v="ORD000878"/>
        <s v="ORD000879"/>
        <s v="ORD000880"/>
        <s v="ORD000881"/>
        <s v="ORD000882"/>
        <s v="ORD000883"/>
        <s v="ORD000884"/>
        <s v="ORD000885"/>
        <s v="ORD000886"/>
        <s v="ORD000887"/>
        <s v="ORD000888"/>
        <s v="ORD000889"/>
        <s v="ORD000890"/>
        <s v="ORD000891"/>
        <s v="ORD000892"/>
        <s v="ORD000893"/>
        <s v="ORD000894"/>
        <s v="ORD000895"/>
        <s v="ORD000896"/>
        <s v="ORD000897"/>
        <s v="ORD000898"/>
        <s v="ORD000899"/>
        <s v="ORD000900"/>
        <s v="ORD000901"/>
        <s v="ORD000902"/>
        <s v="ORD000903"/>
        <s v="ORD000904"/>
        <s v="ORD000905"/>
        <s v="ORD000906"/>
        <s v="ORD000907"/>
        <s v="ORD000908"/>
        <s v="ORD000909"/>
        <s v="ORD000910"/>
        <s v="ORD000911"/>
        <s v="ORD000912"/>
        <s v="ORD000913"/>
        <s v="ORD000914"/>
        <s v="ORD000915"/>
        <s v="ORD000916"/>
        <s v="ORD000917"/>
        <s v="ORD000918"/>
        <s v="ORD000919"/>
        <s v="ORD000920"/>
        <s v="ORD000921"/>
        <s v="ORD000922"/>
        <s v="ORD000923"/>
        <s v="ORD000924"/>
        <s v="ORD000925"/>
        <s v="ORD000926"/>
        <s v="ORD000927"/>
        <s v="ORD000928"/>
        <s v="ORD000929"/>
        <s v="ORD000930"/>
        <s v="ORD000931"/>
        <s v="ORD000932"/>
        <s v="ORD000933"/>
        <s v="ORD000934"/>
        <s v="ORD000935"/>
        <s v="ORD000936"/>
        <s v="ORD000937"/>
        <s v="ORD000938"/>
        <s v="ORD000939"/>
        <s v="ORD000940"/>
        <s v="ORD000941"/>
        <s v="ORD000942"/>
        <s v="ORD000943"/>
        <s v="ORD000944"/>
        <s v="ORD000945"/>
        <s v="ORD000946"/>
        <s v="ORD000947"/>
        <s v="ORD000948"/>
        <s v="ORD000949"/>
        <s v="ORD000950"/>
        <s v="ORD000951"/>
        <s v="ORD000952"/>
        <s v="ORD000953"/>
        <s v="ORD000954"/>
        <s v="ORD000955"/>
        <s v="ORD000956"/>
        <s v="ORD000957"/>
        <s v="ORD000958"/>
        <s v="ORD000959"/>
        <s v="ORD000960"/>
        <s v="ORD000961"/>
        <s v="ORD000962"/>
        <s v="ORD000963"/>
        <s v="ORD000964"/>
        <s v="ORD000965"/>
        <s v="ORD000966"/>
        <s v="ORD000967"/>
        <s v="ORD000968"/>
        <s v="ORD000969"/>
        <s v="ORD000970"/>
        <s v="ORD000971"/>
        <s v="ORD000972"/>
        <s v="ORD000973"/>
        <s v="ORD000974"/>
        <s v="ORD000975"/>
        <s v="ORD000976"/>
        <s v="ORD000977"/>
        <s v="ORD000978"/>
        <s v="ORD000979"/>
        <s v="ORD000980"/>
        <s v="ORD000981"/>
        <s v="ORD000982"/>
        <s v="ORD000983"/>
        <s v="ORD000984"/>
        <s v="ORD000985"/>
        <s v="ORD000986"/>
        <s v="ORD000987"/>
        <s v="ORD000988"/>
        <s v="ORD000989"/>
        <s v="ORD000990"/>
        <s v="ORD000991"/>
        <s v="ORD000992"/>
        <s v="ORD000993"/>
        <s v="ORD000994"/>
        <s v="ORD000995"/>
        <s v="ORD000996"/>
        <s v="ORD000997"/>
        <s v="ORD000998"/>
        <s v="ORD000999"/>
        <s v="ORD001000"/>
      </sharedItems>
    </cacheField>
    <cacheField name="Date" numFmtId="14">
      <sharedItems containsSemiMixedTypes="0" containsNonDate="0" containsDate="1" containsString="0" minDate="2025-01-03T00:00:00" maxDate="2026-01-01T00:00:00" count="341">
        <d v="2025-12-13T00:00:00"/>
        <d v="2025-01-14T00:00:00"/>
        <d v="2025-01-04T00:00:00"/>
        <d v="2025-02-17T00:00:00"/>
        <d v="2025-10-02T00:00:00"/>
        <d v="2025-04-09T00:00:00"/>
        <d v="2025-08-21T00:00:00"/>
        <d v="2025-12-16T00:00:00"/>
        <d v="2025-11-24T00:00:00"/>
        <d v="2025-02-03T00:00:00"/>
        <d v="2025-08-23T00:00:00"/>
        <d v="2025-10-26T00:00:00"/>
        <d v="2025-02-26T00:00:00"/>
        <d v="2025-08-28T00:00:00"/>
        <d v="2025-06-24T00:00:00"/>
        <d v="2025-09-17T00:00:00"/>
        <d v="2025-10-04T00:00:00"/>
        <d v="2025-06-07T00:00:00"/>
        <d v="2025-09-30T00:00:00"/>
        <d v="2025-04-19T00:00:00"/>
        <d v="2025-07-11T00:00:00"/>
        <d v="2025-10-11T00:00:00"/>
        <d v="2025-06-19T00:00:00"/>
        <d v="2025-10-20T00:00:00"/>
        <d v="2025-07-01T00:00:00"/>
        <d v="2025-02-25T00:00:00"/>
        <d v="2025-02-08T00:00:00"/>
        <d v="2025-01-08T00:00:00"/>
        <d v="2025-07-25T00:00:00"/>
        <d v="2025-10-12T00:00:00"/>
        <d v="2025-10-05T00:00:00"/>
        <d v="2025-01-30T00:00:00"/>
        <d v="2025-10-19T00:00:00"/>
        <d v="2025-06-11T00:00:00"/>
        <d v="2025-06-03T00:00:00"/>
        <d v="2025-02-21T00:00:00"/>
        <d v="2025-07-09T00:00:00"/>
        <d v="2025-12-01T00:00:00"/>
        <d v="2025-03-01T00:00:00"/>
        <d v="2025-12-18T00:00:00"/>
        <d v="2025-05-22T00:00:00"/>
        <d v="2025-12-28T00:00:00"/>
        <d v="2025-10-10T00:00:00"/>
        <d v="2025-05-08T00:00:00"/>
        <d v="2025-05-02T00:00:00"/>
        <d v="2025-07-30T00:00:00"/>
        <d v="2025-01-20T00:00:00"/>
        <d v="2025-04-25T00:00:00"/>
        <d v="2025-11-25T00:00:00"/>
        <d v="2025-04-02T00:00:00"/>
        <d v="2025-11-07T00:00:00"/>
        <d v="2025-09-24T00:00:00"/>
        <d v="2025-07-26T00:00:00"/>
        <d v="2025-11-12T00:00:00"/>
        <d v="2025-03-28T00:00:00"/>
        <d v="2025-12-11T00:00:00"/>
        <d v="2025-02-07T00:00:00"/>
        <d v="2025-12-02T00:00:00"/>
        <d v="2025-09-23T00:00:00"/>
        <d v="2025-10-14T00:00:00"/>
        <d v="2025-08-17T00:00:00"/>
        <d v="2025-07-28T00:00:00"/>
        <d v="2025-12-23T00:00:00"/>
        <d v="2025-07-19T00:00:00"/>
        <d v="2025-09-06T00:00:00"/>
        <d v="2025-11-15T00:00:00"/>
        <d v="2025-08-25T00:00:00"/>
        <d v="2025-07-14T00:00:00"/>
        <d v="2025-01-27T00:00:00"/>
        <d v="2025-03-20T00:00:00"/>
        <d v="2025-03-27T00:00:00"/>
        <d v="2025-06-09T00:00:00"/>
        <d v="2025-11-18T00:00:00"/>
        <d v="2025-10-17T00:00:00"/>
        <d v="2025-08-04T00:00:00"/>
        <d v="2025-09-25T00:00:00"/>
        <d v="2025-05-18T00:00:00"/>
        <d v="2025-11-09T00:00:00"/>
        <d v="2025-05-13T00:00:00"/>
        <d v="2025-05-04T00:00:00"/>
        <d v="2025-01-09T00:00:00"/>
        <d v="2025-06-26T00:00:00"/>
        <d v="2025-03-03T00:00:00"/>
        <d v="2025-06-04T00:00:00"/>
        <d v="2025-03-06T00:00:00"/>
        <d v="2025-11-19T00:00:00"/>
        <d v="2025-08-02T00:00:00"/>
        <d v="2025-10-29T00:00:00"/>
        <d v="2025-02-11T00:00:00"/>
        <d v="2025-08-29T00:00:00"/>
        <d v="2025-05-16T00:00:00"/>
        <d v="2025-05-17T00:00:00"/>
        <d v="2025-01-21T00:00:00"/>
        <d v="2025-10-22T00:00:00"/>
        <d v="2025-02-16T00:00:00"/>
        <d v="2025-12-22T00:00:00"/>
        <d v="2025-06-15T00:00:00"/>
        <d v="2025-05-28T00:00:00"/>
        <d v="2025-08-30T00:00:00"/>
        <d v="2025-02-05T00:00:00"/>
        <d v="2025-06-02T00:00:00"/>
        <d v="2025-09-15T00:00:00"/>
        <d v="2025-03-15T00:00:00"/>
        <d v="2025-11-16T00:00:00"/>
        <d v="2025-09-07T00:00:00"/>
        <d v="2025-08-11T00:00:00"/>
        <d v="2025-01-24T00:00:00"/>
        <d v="2025-08-27T00:00:00"/>
        <d v="2025-08-06T00:00:00"/>
        <d v="2025-07-03T00:00:00"/>
        <d v="2025-11-22T00:00:00"/>
        <d v="2025-06-08T00:00:00"/>
        <d v="2025-04-13T00:00:00"/>
        <d v="2025-05-12T00:00:00"/>
        <d v="2025-04-26T00:00:00"/>
        <d v="2025-02-02T00:00:00"/>
        <d v="2025-05-24T00:00:00"/>
        <d v="2025-06-18T00:00:00"/>
        <d v="2025-03-31T00:00:00"/>
        <d v="2025-09-01T00:00:00"/>
        <d v="2025-01-23T00:00:00"/>
        <d v="2025-05-21T00:00:00"/>
        <d v="2025-11-06T00:00:00"/>
        <d v="2025-06-23T00:00:00"/>
        <d v="2025-03-08T00:00:00"/>
        <d v="2025-12-07T00:00:00"/>
        <d v="2025-05-23T00:00:00"/>
        <d v="2025-11-08T00:00:00"/>
        <d v="2025-01-16T00:00:00"/>
        <d v="2025-06-16T00:00:00"/>
        <d v="2025-09-20T00:00:00"/>
        <d v="2025-03-12T00:00:00"/>
        <d v="2025-12-27T00:00:00"/>
        <d v="2025-01-10T00:00:00"/>
        <d v="2025-07-05T00:00:00"/>
        <d v="2025-04-10T00:00:00"/>
        <d v="2025-11-05T00:00:00"/>
        <d v="2025-10-24T00:00:00"/>
        <d v="2025-06-30T00:00:00"/>
        <d v="2025-11-27T00:00:00"/>
        <d v="2025-01-22T00:00:00"/>
        <d v="2025-02-01T00:00:00"/>
        <d v="2025-05-07T00:00:00"/>
        <d v="2025-07-29T00:00:00"/>
        <d v="2025-05-26T00:00:00"/>
        <d v="2025-06-29T00:00:00"/>
        <d v="2025-09-18T00:00:00"/>
        <d v="2025-11-02T00:00:00"/>
        <d v="2025-09-04T00:00:00"/>
        <d v="2025-08-19T00:00:00"/>
        <d v="2025-08-01T00:00:00"/>
        <d v="2025-02-20T00:00:00"/>
        <d v="2025-03-13T00:00:00"/>
        <d v="2025-12-09T00:00:00"/>
        <d v="2025-07-18T00:00:00"/>
        <d v="2025-02-23T00:00:00"/>
        <d v="2025-01-19T00:00:00"/>
        <d v="2025-10-06T00:00:00"/>
        <d v="2025-07-17T00:00:00"/>
        <d v="2025-12-05T00:00:00"/>
        <d v="2025-12-14T00:00:00"/>
        <d v="2025-05-15T00:00:00"/>
        <d v="2025-10-09T00:00:00"/>
        <d v="2025-03-04T00:00:00"/>
        <d v="2025-09-27T00:00:00"/>
        <d v="2025-08-10T00:00:00"/>
        <d v="2025-12-30T00:00:00"/>
        <d v="2025-10-25T00:00:00"/>
        <d v="2025-12-17T00:00:00"/>
        <d v="2025-02-19T00:00:00"/>
        <d v="2025-06-17T00:00:00"/>
        <d v="2025-09-12T00:00:00"/>
        <d v="2025-01-26T00:00:00"/>
        <d v="2025-03-10T00:00:00"/>
        <d v="2025-07-07T00:00:00"/>
        <d v="2025-06-20T00:00:00"/>
        <d v="2025-03-25T00:00:00"/>
        <d v="2025-09-08T00:00:00"/>
        <d v="2025-03-19T00:00:00"/>
        <d v="2025-03-30T00:00:00"/>
        <d v="2025-09-03T00:00:00"/>
        <d v="2025-07-22T00:00:00"/>
        <d v="2025-08-15T00:00:00"/>
        <d v="2025-05-20T00:00:00"/>
        <d v="2025-01-03T00:00:00"/>
        <d v="2025-05-27T00:00:00"/>
        <d v="2025-05-29T00:00:00"/>
        <d v="2025-06-01T00:00:00"/>
        <d v="2025-02-14T00:00:00"/>
        <d v="2025-07-16T00:00:00"/>
        <d v="2025-09-02T00:00:00"/>
        <d v="2025-10-03T00:00:00"/>
        <d v="2025-04-14T00:00:00"/>
        <d v="2025-10-16T00:00:00"/>
        <d v="2025-04-22T00:00:00"/>
        <d v="2025-08-18T00:00:00"/>
        <d v="2025-07-21T00:00:00"/>
        <d v="2025-02-27T00:00:00"/>
        <d v="2025-01-18T00:00:00"/>
        <d v="2025-04-05T00:00:00"/>
        <d v="2025-10-15T00:00:00"/>
        <d v="2025-02-10T00:00:00"/>
        <d v="2025-05-05T00:00:00"/>
        <d v="2025-10-01T00:00:00"/>
        <d v="2025-03-16T00:00:00"/>
        <d v="2025-04-28T00:00:00"/>
        <d v="2025-04-29T00:00:00"/>
        <d v="2025-12-08T00:00:00"/>
        <d v="2025-10-18T00:00:00"/>
        <d v="2025-04-27T00:00:00"/>
        <d v="2025-11-13T00:00:00"/>
        <d v="2025-11-21T00:00:00"/>
        <d v="2025-07-04T00:00:00"/>
        <d v="2025-02-22T00:00:00"/>
        <d v="2025-02-13T00:00:00"/>
        <d v="2025-09-05T00:00:00"/>
        <d v="2025-02-24T00:00:00"/>
        <d v="2025-08-14T00:00:00"/>
        <d v="2025-10-07T00:00:00"/>
        <d v="2025-12-21T00:00:00"/>
        <d v="2025-05-10T00:00:00"/>
        <d v="2025-09-19T00:00:00"/>
        <d v="2025-04-20T00:00:00"/>
        <d v="2025-10-28T00:00:00"/>
        <d v="2025-09-11T00:00:00"/>
        <d v="2025-04-16T00:00:00"/>
        <d v="2025-05-30T00:00:00"/>
        <d v="2025-07-08T00:00:00"/>
        <d v="2025-06-22T00:00:00"/>
        <d v="2025-08-24T00:00:00"/>
        <d v="2025-07-10T00:00:00"/>
        <d v="2025-08-08T00:00:00"/>
        <d v="2025-07-15T00:00:00"/>
        <d v="2025-03-26T00:00:00"/>
        <d v="2025-12-20T00:00:00"/>
        <d v="2025-07-20T00:00:00"/>
        <d v="2025-11-01T00:00:00"/>
        <d v="2025-11-29T00:00:00"/>
        <d v="2025-12-26T00:00:00"/>
        <d v="2025-01-29T00:00:00"/>
        <d v="2025-12-12T00:00:00"/>
        <d v="2025-06-13T00:00:00"/>
        <d v="2025-12-03T00:00:00"/>
        <d v="2025-09-09T00:00:00"/>
        <d v="2025-12-25T00:00:00"/>
        <d v="2025-04-17T00:00:00"/>
        <d v="2025-04-24T00:00:00"/>
        <d v="2025-12-24T00:00:00"/>
        <d v="2025-09-10T00:00:00"/>
        <d v="2025-08-12T00:00:00"/>
        <d v="2025-07-02T00:00:00"/>
        <d v="2025-04-01T00:00:00"/>
        <d v="2025-11-10T00:00:00"/>
        <d v="2025-10-23T00:00:00"/>
        <d v="2025-01-11T00:00:00"/>
        <d v="2025-08-09T00:00:00"/>
        <d v="2025-04-08T00:00:00"/>
        <d v="2025-02-04T00:00:00"/>
        <d v="2025-01-07T00:00:00"/>
        <d v="2025-09-26T00:00:00"/>
        <d v="2025-12-06T00:00:00"/>
        <d v="2025-12-10T00:00:00"/>
        <d v="2025-03-07T00:00:00"/>
        <d v="2025-03-02T00:00:00"/>
        <d v="2025-09-14T00:00:00"/>
        <d v="2025-09-29T00:00:00"/>
        <d v="2025-05-19T00:00:00"/>
        <d v="2025-02-28T00:00:00"/>
        <d v="2025-08-07T00:00:00"/>
        <d v="2025-08-22T00:00:00"/>
        <d v="2025-01-31T00:00:00"/>
        <d v="2025-03-18T00:00:00"/>
        <d v="2025-02-15T00:00:00"/>
        <d v="2025-10-13T00:00:00"/>
        <d v="2025-11-14T00:00:00"/>
        <d v="2025-09-13T00:00:00"/>
        <d v="2025-06-14T00:00:00"/>
        <d v="2025-05-31T00:00:00"/>
        <d v="2025-06-10T00:00:00"/>
        <d v="2025-03-09T00:00:00"/>
        <d v="2025-01-13T00:00:00"/>
        <d v="2025-08-20T00:00:00"/>
        <d v="2025-04-23T00:00:00"/>
        <d v="2025-06-28T00:00:00"/>
        <d v="2025-11-11T00:00:00"/>
        <d v="2025-05-25T00:00:00"/>
        <d v="2025-11-30T00:00:00"/>
        <d v="2025-04-18T00:00:00"/>
        <d v="2025-03-22T00:00:00"/>
        <d v="2025-05-09T00:00:00"/>
        <d v="2025-06-06T00:00:00"/>
        <d v="2025-09-22T00:00:00"/>
        <d v="2025-11-26T00:00:00"/>
        <d v="2025-11-28T00:00:00"/>
        <d v="2025-12-04T00:00:00"/>
        <d v="2025-11-03T00:00:00"/>
        <d v="2025-07-12T00:00:00"/>
        <d v="2025-10-27T00:00:00"/>
        <d v="2025-07-23T00:00:00"/>
        <d v="2025-01-28T00:00:00"/>
        <d v="2025-05-01T00:00:00"/>
        <d v="2025-06-12T00:00:00"/>
        <d v="2025-08-31T00:00:00"/>
        <d v="2025-06-27T00:00:00"/>
        <d v="2025-06-05T00:00:00"/>
        <d v="2025-03-11T00:00:00"/>
        <d v="2025-04-12T00:00:00"/>
        <d v="2025-12-19T00:00:00"/>
        <d v="2025-04-30T00:00:00"/>
        <d v="2025-02-06T00:00:00"/>
        <d v="2025-11-23T00:00:00"/>
        <d v="2025-09-16T00:00:00"/>
        <d v="2025-03-21T00:00:00"/>
        <d v="2025-03-17T00:00:00"/>
        <d v="2025-11-17T00:00:00"/>
        <d v="2025-07-31T00:00:00"/>
        <d v="2025-08-13T00:00:00"/>
        <d v="2025-12-31T00:00:00"/>
        <d v="2025-11-04T00:00:00"/>
        <d v="2025-01-17T00:00:00"/>
        <d v="2025-01-06T00:00:00"/>
        <d v="2025-11-20T00:00:00"/>
        <d v="2025-04-21T00:00:00"/>
        <d v="2025-06-25T00:00:00"/>
        <d v="2025-02-09T00:00:00"/>
        <d v="2025-03-24T00:00:00"/>
        <d v="2025-08-16T00:00:00"/>
        <d v="2025-07-24T00:00:00"/>
        <d v="2025-05-06T00:00:00"/>
        <d v="2025-01-15T00:00:00"/>
        <d v="2025-08-05T00:00:00"/>
        <d v="2025-05-14T00:00:00"/>
        <d v="2025-02-18T00:00:00"/>
        <d v="2025-04-04T00:00:00"/>
        <d v="2025-01-12T00:00:00"/>
        <d v="2025-10-21T00:00:00"/>
        <d v="2025-12-29T00:00:00"/>
        <d v="2025-04-03T00:00:00"/>
        <d v="2025-09-28T00:00:00"/>
        <d v="2025-05-11T00:00:00"/>
        <d v="2025-01-05T00:00:00"/>
      </sharedItems>
      <fieldGroup par="12"/>
    </cacheField>
    <cacheField name="CustomerID" numFmtId="0">
      <sharedItems/>
    </cacheField>
    <cacheField name="Region" numFmtId="0">
      <sharedItems count="4">
        <s v="East"/>
        <s v="South"/>
        <s v="West"/>
        <s v="North"/>
      </sharedItems>
    </cacheField>
    <cacheField name="ProductName" numFmtId="0">
      <sharedItems count="16">
        <s v="Headphones"/>
        <s v="Laptop"/>
        <s v="Football"/>
        <s v="T-Shirt"/>
        <s v="Jacket"/>
        <s v="Jeans"/>
        <s v="Bookshelf"/>
        <s v="Smartphone"/>
        <s v="Yoga Mat"/>
        <s v="Tea Pack"/>
        <s v="Rice Bag"/>
        <s v="Cricket Bat"/>
        <s v="Cooking Oil"/>
        <s v="Office Chair"/>
        <s v="Desk"/>
        <s v="Smartwatch"/>
      </sharedItems>
    </cacheField>
    <cacheField name="Category" numFmtId="0">
      <sharedItems count="5">
        <s v="Electronics"/>
        <s v="Sports"/>
        <s v="Clothing"/>
        <s v="Furniture"/>
        <s v="Grocery"/>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450" maxValue="60431"/>
    </cacheField>
    <cacheField name="TotalAmount" numFmtId="0">
      <sharedItems containsSemiMixedTypes="0" containsString="0" containsNumber="1" containsInteger="1" minValue="454" maxValue="582920"/>
    </cacheField>
    <cacheField name="OrderStatus" numFmtId="0">
      <sharedItems count="3">
        <s v="Completed"/>
        <s v="Cancelled"/>
        <s v="Returned"/>
      </sharedItems>
    </cacheField>
    <cacheField name="SalesAgent" numFmtId="0">
      <sharedItems count="15">
        <s v="Agent_2"/>
        <s v="Agent_4"/>
        <s v="Agent_12"/>
        <s v="Agent_15"/>
        <s v="Agent_1"/>
        <s v="Agent_14"/>
        <s v="Agent_5"/>
        <s v="Agent_6"/>
        <s v="Agent_11"/>
        <s v="Agent_3"/>
        <s v="Agent_13"/>
        <s v="Agent_10"/>
        <s v="Agent_9"/>
        <s v="Agent_8"/>
        <s v="Agent_7"/>
      </sharedItems>
    </cacheField>
    <cacheField name="Days (Date)" numFmtId="0" databaseField="0">
      <fieldGroup base="1">
        <rangePr groupBy="days" startDate="2025-01-03T00:00:00" endDate="2026-01-01T00:00:00"/>
        <groupItems count="368">
          <s v="&lt;1/3/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ate)" numFmtId="0" databaseField="0">
      <fieldGroup base="1">
        <rangePr groupBy="months" startDate="2025-01-03T00:00:00" endDate="2026-01-01T00:00:00"/>
        <groupItems count="14">
          <s v="&lt;1/3/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7255080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CUST1279"/>
    <x v="0"/>
    <x v="0"/>
    <x v="0"/>
    <n v="4"/>
    <n v="2833"/>
    <n v="11332"/>
    <x v="0"/>
    <x v="0"/>
  </r>
  <r>
    <x v="1"/>
    <x v="1"/>
    <s v="CUST1287"/>
    <x v="0"/>
    <x v="1"/>
    <x v="0"/>
    <n v="2"/>
    <n v="51905"/>
    <n v="103810"/>
    <x v="0"/>
    <x v="1"/>
  </r>
  <r>
    <x v="2"/>
    <x v="2"/>
    <s v="CUST1081"/>
    <x v="0"/>
    <x v="2"/>
    <x v="1"/>
    <n v="4"/>
    <n v="1187"/>
    <n v="4748"/>
    <x v="0"/>
    <x v="2"/>
  </r>
  <r>
    <x v="3"/>
    <x v="3"/>
    <s v="CUST1194"/>
    <x v="1"/>
    <x v="3"/>
    <x v="2"/>
    <n v="4"/>
    <n v="873"/>
    <n v="3492"/>
    <x v="0"/>
    <x v="0"/>
  </r>
  <r>
    <x v="4"/>
    <x v="4"/>
    <s v="CUST1063"/>
    <x v="1"/>
    <x v="4"/>
    <x v="2"/>
    <n v="5"/>
    <n v="3714"/>
    <n v="18570"/>
    <x v="1"/>
    <x v="3"/>
  </r>
  <r>
    <x v="5"/>
    <x v="5"/>
    <s v="CUST1035"/>
    <x v="1"/>
    <x v="2"/>
    <x v="1"/>
    <n v="10"/>
    <n v="1292"/>
    <n v="12920"/>
    <x v="0"/>
    <x v="4"/>
  </r>
  <r>
    <x v="6"/>
    <x v="6"/>
    <s v="CUST1325"/>
    <x v="0"/>
    <x v="3"/>
    <x v="2"/>
    <n v="4"/>
    <n v="858"/>
    <n v="3432"/>
    <x v="0"/>
    <x v="5"/>
  </r>
  <r>
    <x v="7"/>
    <x v="7"/>
    <s v="CUST1331"/>
    <x v="1"/>
    <x v="5"/>
    <x v="2"/>
    <n v="4"/>
    <n v="1861"/>
    <n v="7444"/>
    <x v="0"/>
    <x v="0"/>
  </r>
  <r>
    <x v="8"/>
    <x v="8"/>
    <s v="CUST1285"/>
    <x v="0"/>
    <x v="6"/>
    <x v="3"/>
    <n v="4"/>
    <n v="8394"/>
    <n v="33576"/>
    <x v="0"/>
    <x v="1"/>
  </r>
  <r>
    <x v="9"/>
    <x v="9"/>
    <s v="CUST1108"/>
    <x v="0"/>
    <x v="7"/>
    <x v="0"/>
    <n v="1"/>
    <n v="26525"/>
    <n v="26525"/>
    <x v="0"/>
    <x v="3"/>
  </r>
  <r>
    <x v="10"/>
    <x v="10"/>
    <s v="CUST1073"/>
    <x v="2"/>
    <x v="3"/>
    <x v="2"/>
    <n v="8"/>
    <n v="783"/>
    <n v="6264"/>
    <x v="1"/>
    <x v="6"/>
  </r>
  <r>
    <x v="11"/>
    <x v="11"/>
    <s v="CUST1204"/>
    <x v="3"/>
    <x v="8"/>
    <x v="1"/>
    <n v="5"/>
    <n v="1574"/>
    <n v="7870"/>
    <x v="0"/>
    <x v="7"/>
  </r>
  <r>
    <x v="12"/>
    <x v="12"/>
    <s v="CUST1078"/>
    <x v="3"/>
    <x v="6"/>
    <x v="3"/>
    <n v="8"/>
    <n v="8263"/>
    <n v="66104"/>
    <x v="0"/>
    <x v="8"/>
  </r>
  <r>
    <x v="13"/>
    <x v="13"/>
    <s v="CUST1270"/>
    <x v="3"/>
    <x v="9"/>
    <x v="4"/>
    <n v="2"/>
    <n v="488"/>
    <n v="976"/>
    <x v="0"/>
    <x v="6"/>
  </r>
  <r>
    <x v="14"/>
    <x v="14"/>
    <s v="CUST1057"/>
    <x v="2"/>
    <x v="1"/>
    <x v="0"/>
    <n v="9"/>
    <n v="57759"/>
    <n v="519831"/>
    <x v="0"/>
    <x v="6"/>
  </r>
  <r>
    <x v="15"/>
    <x v="15"/>
    <s v="CUST1054"/>
    <x v="1"/>
    <x v="10"/>
    <x v="4"/>
    <n v="5"/>
    <n v="1313"/>
    <n v="6565"/>
    <x v="1"/>
    <x v="5"/>
  </r>
  <r>
    <x v="16"/>
    <x v="16"/>
    <s v="CUST1271"/>
    <x v="0"/>
    <x v="8"/>
    <x v="1"/>
    <n v="4"/>
    <n v="1395"/>
    <n v="5580"/>
    <x v="0"/>
    <x v="3"/>
  </r>
  <r>
    <x v="17"/>
    <x v="17"/>
    <s v="CUST1122"/>
    <x v="3"/>
    <x v="5"/>
    <x v="2"/>
    <n v="1"/>
    <n v="1660"/>
    <n v="1660"/>
    <x v="0"/>
    <x v="4"/>
  </r>
  <r>
    <x v="18"/>
    <x v="18"/>
    <s v="CUST1064"/>
    <x v="3"/>
    <x v="11"/>
    <x v="1"/>
    <n v="2"/>
    <n v="2615"/>
    <n v="5230"/>
    <x v="0"/>
    <x v="9"/>
  </r>
  <r>
    <x v="19"/>
    <x v="19"/>
    <s v="CUST1276"/>
    <x v="0"/>
    <x v="11"/>
    <x v="1"/>
    <n v="5"/>
    <n v="2513"/>
    <n v="12565"/>
    <x v="0"/>
    <x v="10"/>
  </r>
  <r>
    <x v="20"/>
    <x v="20"/>
    <s v="CUST1224"/>
    <x v="0"/>
    <x v="6"/>
    <x v="3"/>
    <n v="5"/>
    <n v="8818"/>
    <n v="44090"/>
    <x v="0"/>
    <x v="3"/>
  </r>
  <r>
    <x v="21"/>
    <x v="21"/>
    <s v="CUST1117"/>
    <x v="1"/>
    <x v="7"/>
    <x v="0"/>
    <n v="4"/>
    <n v="22820"/>
    <n v="91280"/>
    <x v="0"/>
    <x v="11"/>
  </r>
  <r>
    <x v="22"/>
    <x v="22"/>
    <s v="CUST1036"/>
    <x v="3"/>
    <x v="1"/>
    <x v="0"/>
    <n v="4"/>
    <n v="50241"/>
    <n v="200964"/>
    <x v="0"/>
    <x v="12"/>
  </r>
  <r>
    <x v="23"/>
    <x v="23"/>
    <s v="CUST1295"/>
    <x v="3"/>
    <x v="10"/>
    <x v="4"/>
    <n v="9"/>
    <n v="1111"/>
    <n v="9999"/>
    <x v="1"/>
    <x v="13"/>
  </r>
  <r>
    <x v="24"/>
    <x v="24"/>
    <s v="CUST1216"/>
    <x v="3"/>
    <x v="12"/>
    <x v="4"/>
    <n v="4"/>
    <n v="1653"/>
    <n v="6612"/>
    <x v="0"/>
    <x v="14"/>
  </r>
  <r>
    <x v="25"/>
    <x v="25"/>
    <s v="CUST1127"/>
    <x v="1"/>
    <x v="1"/>
    <x v="0"/>
    <n v="1"/>
    <n v="53928"/>
    <n v="53928"/>
    <x v="0"/>
    <x v="1"/>
  </r>
  <r>
    <x v="26"/>
    <x v="26"/>
    <s v="CUST1226"/>
    <x v="3"/>
    <x v="10"/>
    <x v="4"/>
    <n v="7"/>
    <n v="1124"/>
    <n v="7868"/>
    <x v="0"/>
    <x v="10"/>
  </r>
  <r>
    <x v="27"/>
    <x v="27"/>
    <s v="CUST1047"/>
    <x v="2"/>
    <x v="11"/>
    <x v="1"/>
    <n v="1"/>
    <n v="2576"/>
    <n v="2576"/>
    <x v="0"/>
    <x v="3"/>
  </r>
  <r>
    <x v="28"/>
    <x v="28"/>
    <s v="CUST1030"/>
    <x v="2"/>
    <x v="13"/>
    <x v="3"/>
    <n v="7"/>
    <n v="6979"/>
    <n v="48853"/>
    <x v="0"/>
    <x v="9"/>
  </r>
  <r>
    <x v="29"/>
    <x v="29"/>
    <s v="CUST1338"/>
    <x v="1"/>
    <x v="12"/>
    <x v="4"/>
    <n v="8"/>
    <n v="1722"/>
    <n v="13776"/>
    <x v="0"/>
    <x v="2"/>
  </r>
  <r>
    <x v="30"/>
    <x v="30"/>
    <s v="CUST1031"/>
    <x v="1"/>
    <x v="14"/>
    <x v="3"/>
    <n v="4"/>
    <n v="13124"/>
    <n v="52496"/>
    <x v="0"/>
    <x v="2"/>
  </r>
  <r>
    <x v="31"/>
    <x v="31"/>
    <s v="CUST1260"/>
    <x v="3"/>
    <x v="15"/>
    <x v="0"/>
    <n v="9"/>
    <n v="8671"/>
    <n v="78039"/>
    <x v="0"/>
    <x v="0"/>
  </r>
  <r>
    <x v="32"/>
    <x v="32"/>
    <s v="CUST1126"/>
    <x v="2"/>
    <x v="1"/>
    <x v="0"/>
    <n v="4"/>
    <n v="53941"/>
    <n v="215764"/>
    <x v="1"/>
    <x v="11"/>
  </r>
  <r>
    <x v="33"/>
    <x v="33"/>
    <s v="CUST1133"/>
    <x v="0"/>
    <x v="11"/>
    <x v="1"/>
    <n v="7"/>
    <n v="2578"/>
    <n v="18046"/>
    <x v="0"/>
    <x v="1"/>
  </r>
  <r>
    <x v="34"/>
    <x v="34"/>
    <s v="CUST1234"/>
    <x v="0"/>
    <x v="3"/>
    <x v="2"/>
    <n v="5"/>
    <n v="783"/>
    <n v="3915"/>
    <x v="0"/>
    <x v="7"/>
  </r>
  <r>
    <x v="35"/>
    <x v="35"/>
    <s v="CUST1037"/>
    <x v="2"/>
    <x v="1"/>
    <x v="0"/>
    <n v="8"/>
    <n v="56332"/>
    <n v="450656"/>
    <x v="0"/>
    <x v="12"/>
  </r>
  <r>
    <x v="36"/>
    <x v="36"/>
    <s v="CUST1145"/>
    <x v="3"/>
    <x v="3"/>
    <x v="2"/>
    <n v="6"/>
    <n v="860"/>
    <n v="5160"/>
    <x v="0"/>
    <x v="9"/>
  </r>
  <r>
    <x v="37"/>
    <x v="37"/>
    <s v="CUST1270"/>
    <x v="1"/>
    <x v="8"/>
    <x v="1"/>
    <n v="5"/>
    <n v="1533"/>
    <n v="7665"/>
    <x v="2"/>
    <x v="4"/>
  </r>
  <r>
    <x v="38"/>
    <x v="38"/>
    <s v="CUST1054"/>
    <x v="0"/>
    <x v="2"/>
    <x v="1"/>
    <n v="2"/>
    <n v="1305"/>
    <n v="2610"/>
    <x v="0"/>
    <x v="2"/>
  </r>
  <r>
    <x v="39"/>
    <x v="39"/>
    <s v="CUST1324"/>
    <x v="0"/>
    <x v="5"/>
    <x v="2"/>
    <n v="10"/>
    <n v="1695"/>
    <n v="16950"/>
    <x v="0"/>
    <x v="5"/>
  </r>
  <r>
    <x v="40"/>
    <x v="40"/>
    <s v="CUST1022"/>
    <x v="3"/>
    <x v="12"/>
    <x v="4"/>
    <n v="1"/>
    <n v="1653"/>
    <n v="1653"/>
    <x v="0"/>
    <x v="4"/>
  </r>
  <r>
    <x v="41"/>
    <x v="41"/>
    <s v="CUST1218"/>
    <x v="3"/>
    <x v="6"/>
    <x v="3"/>
    <n v="5"/>
    <n v="8390"/>
    <n v="41950"/>
    <x v="0"/>
    <x v="12"/>
  </r>
  <r>
    <x v="42"/>
    <x v="42"/>
    <s v="CUST1075"/>
    <x v="3"/>
    <x v="7"/>
    <x v="0"/>
    <n v="9"/>
    <n v="22680"/>
    <n v="204120"/>
    <x v="0"/>
    <x v="14"/>
  </r>
  <r>
    <x v="43"/>
    <x v="43"/>
    <s v="CUST1341"/>
    <x v="3"/>
    <x v="5"/>
    <x v="2"/>
    <n v="1"/>
    <n v="1943"/>
    <n v="1943"/>
    <x v="0"/>
    <x v="0"/>
  </r>
  <r>
    <x v="44"/>
    <x v="44"/>
    <s v="CUST1083"/>
    <x v="1"/>
    <x v="2"/>
    <x v="1"/>
    <n v="10"/>
    <n v="1259"/>
    <n v="12590"/>
    <x v="2"/>
    <x v="10"/>
  </r>
  <r>
    <x v="45"/>
    <x v="45"/>
    <s v="CUST1342"/>
    <x v="2"/>
    <x v="10"/>
    <x v="4"/>
    <n v="3"/>
    <n v="1256"/>
    <n v="3768"/>
    <x v="0"/>
    <x v="5"/>
  </r>
  <r>
    <x v="46"/>
    <x v="46"/>
    <s v="CUST1240"/>
    <x v="0"/>
    <x v="14"/>
    <x v="3"/>
    <n v="3"/>
    <n v="12689"/>
    <n v="38067"/>
    <x v="0"/>
    <x v="1"/>
  </r>
  <r>
    <x v="47"/>
    <x v="47"/>
    <s v="CUST1012"/>
    <x v="3"/>
    <x v="12"/>
    <x v="4"/>
    <n v="5"/>
    <n v="1915"/>
    <n v="9575"/>
    <x v="0"/>
    <x v="8"/>
  </r>
  <r>
    <x v="48"/>
    <x v="48"/>
    <s v="CUST1260"/>
    <x v="3"/>
    <x v="5"/>
    <x v="2"/>
    <n v="2"/>
    <n v="1968"/>
    <n v="3936"/>
    <x v="0"/>
    <x v="14"/>
  </r>
  <r>
    <x v="49"/>
    <x v="49"/>
    <s v="CUST1297"/>
    <x v="0"/>
    <x v="2"/>
    <x v="1"/>
    <n v="1"/>
    <n v="1107"/>
    <n v="1107"/>
    <x v="2"/>
    <x v="6"/>
  </r>
  <r>
    <x v="50"/>
    <x v="50"/>
    <s v="CUST1261"/>
    <x v="3"/>
    <x v="2"/>
    <x v="1"/>
    <n v="6"/>
    <n v="1254"/>
    <n v="7524"/>
    <x v="0"/>
    <x v="0"/>
  </r>
  <r>
    <x v="51"/>
    <x v="51"/>
    <s v="CUST1275"/>
    <x v="1"/>
    <x v="11"/>
    <x v="1"/>
    <n v="5"/>
    <n v="2272"/>
    <n v="11360"/>
    <x v="0"/>
    <x v="8"/>
  </r>
  <r>
    <x v="52"/>
    <x v="22"/>
    <s v="CUST1319"/>
    <x v="0"/>
    <x v="14"/>
    <x v="3"/>
    <n v="7"/>
    <n v="10967"/>
    <n v="76769"/>
    <x v="0"/>
    <x v="7"/>
  </r>
  <r>
    <x v="53"/>
    <x v="52"/>
    <s v="CUST1151"/>
    <x v="0"/>
    <x v="0"/>
    <x v="0"/>
    <n v="9"/>
    <n v="2885"/>
    <n v="25965"/>
    <x v="0"/>
    <x v="12"/>
  </r>
  <r>
    <x v="54"/>
    <x v="53"/>
    <s v="CUST1291"/>
    <x v="3"/>
    <x v="9"/>
    <x v="4"/>
    <n v="7"/>
    <n v="517"/>
    <n v="3619"/>
    <x v="1"/>
    <x v="6"/>
  </r>
  <r>
    <x v="55"/>
    <x v="50"/>
    <s v="CUST1335"/>
    <x v="1"/>
    <x v="0"/>
    <x v="0"/>
    <n v="5"/>
    <n v="2826"/>
    <n v="14130"/>
    <x v="1"/>
    <x v="7"/>
  </r>
  <r>
    <x v="56"/>
    <x v="54"/>
    <s v="CUST1337"/>
    <x v="1"/>
    <x v="9"/>
    <x v="4"/>
    <n v="4"/>
    <n v="501"/>
    <n v="2004"/>
    <x v="1"/>
    <x v="0"/>
  </r>
  <r>
    <x v="57"/>
    <x v="55"/>
    <s v="CUST1158"/>
    <x v="3"/>
    <x v="2"/>
    <x v="1"/>
    <n v="2"/>
    <n v="1276"/>
    <n v="2552"/>
    <x v="0"/>
    <x v="1"/>
  </r>
  <r>
    <x v="58"/>
    <x v="56"/>
    <s v="CUST1233"/>
    <x v="2"/>
    <x v="13"/>
    <x v="3"/>
    <n v="1"/>
    <n v="6642"/>
    <n v="6642"/>
    <x v="0"/>
    <x v="14"/>
  </r>
  <r>
    <x v="59"/>
    <x v="57"/>
    <s v="CUST1002"/>
    <x v="2"/>
    <x v="11"/>
    <x v="1"/>
    <n v="7"/>
    <n v="2497"/>
    <n v="17479"/>
    <x v="0"/>
    <x v="3"/>
  </r>
  <r>
    <x v="60"/>
    <x v="58"/>
    <s v="CUST1237"/>
    <x v="2"/>
    <x v="15"/>
    <x v="0"/>
    <n v="4"/>
    <n v="7481"/>
    <n v="29924"/>
    <x v="2"/>
    <x v="4"/>
  </r>
  <r>
    <x v="61"/>
    <x v="59"/>
    <s v="CUST1304"/>
    <x v="0"/>
    <x v="15"/>
    <x v="0"/>
    <n v="3"/>
    <n v="8482"/>
    <n v="25446"/>
    <x v="0"/>
    <x v="7"/>
  </r>
  <r>
    <x v="62"/>
    <x v="60"/>
    <s v="CUST1081"/>
    <x v="2"/>
    <x v="9"/>
    <x v="4"/>
    <n v="9"/>
    <n v="492"/>
    <n v="4428"/>
    <x v="1"/>
    <x v="2"/>
  </r>
  <r>
    <x v="63"/>
    <x v="51"/>
    <s v="CUST1248"/>
    <x v="2"/>
    <x v="12"/>
    <x v="4"/>
    <n v="4"/>
    <n v="1922"/>
    <n v="7688"/>
    <x v="0"/>
    <x v="8"/>
  </r>
  <r>
    <x v="64"/>
    <x v="16"/>
    <s v="CUST1041"/>
    <x v="3"/>
    <x v="10"/>
    <x v="4"/>
    <n v="5"/>
    <n v="1136"/>
    <n v="5680"/>
    <x v="0"/>
    <x v="9"/>
  </r>
  <r>
    <x v="65"/>
    <x v="61"/>
    <s v="CUST1169"/>
    <x v="3"/>
    <x v="9"/>
    <x v="4"/>
    <n v="3"/>
    <n v="520"/>
    <n v="1560"/>
    <x v="0"/>
    <x v="12"/>
  </r>
  <r>
    <x v="66"/>
    <x v="62"/>
    <s v="CUST1010"/>
    <x v="1"/>
    <x v="7"/>
    <x v="0"/>
    <n v="7"/>
    <n v="24447"/>
    <n v="171129"/>
    <x v="1"/>
    <x v="5"/>
  </r>
  <r>
    <x v="67"/>
    <x v="63"/>
    <s v="CUST1214"/>
    <x v="2"/>
    <x v="2"/>
    <x v="1"/>
    <n v="8"/>
    <n v="1081"/>
    <n v="8648"/>
    <x v="0"/>
    <x v="12"/>
  </r>
  <r>
    <x v="68"/>
    <x v="64"/>
    <s v="CUST1014"/>
    <x v="0"/>
    <x v="8"/>
    <x v="1"/>
    <n v="4"/>
    <n v="1496"/>
    <n v="5984"/>
    <x v="0"/>
    <x v="14"/>
  </r>
  <r>
    <x v="69"/>
    <x v="65"/>
    <s v="CUST1273"/>
    <x v="3"/>
    <x v="9"/>
    <x v="4"/>
    <n v="3"/>
    <n v="534"/>
    <n v="1602"/>
    <x v="1"/>
    <x v="4"/>
  </r>
  <r>
    <x v="70"/>
    <x v="66"/>
    <s v="CUST1093"/>
    <x v="2"/>
    <x v="8"/>
    <x v="1"/>
    <n v="1"/>
    <n v="1375"/>
    <n v="1375"/>
    <x v="0"/>
    <x v="4"/>
  </r>
  <r>
    <x v="71"/>
    <x v="67"/>
    <s v="CUST1142"/>
    <x v="3"/>
    <x v="3"/>
    <x v="2"/>
    <n v="8"/>
    <n v="772"/>
    <n v="6176"/>
    <x v="0"/>
    <x v="10"/>
  </r>
  <r>
    <x v="72"/>
    <x v="68"/>
    <s v="CUST1179"/>
    <x v="2"/>
    <x v="12"/>
    <x v="4"/>
    <n v="2"/>
    <n v="1789"/>
    <n v="3578"/>
    <x v="0"/>
    <x v="1"/>
  </r>
  <r>
    <x v="73"/>
    <x v="69"/>
    <s v="CUST1122"/>
    <x v="0"/>
    <x v="1"/>
    <x v="0"/>
    <n v="4"/>
    <n v="51692"/>
    <n v="206768"/>
    <x v="0"/>
    <x v="9"/>
  </r>
  <r>
    <x v="74"/>
    <x v="70"/>
    <s v="CUST1310"/>
    <x v="1"/>
    <x v="7"/>
    <x v="0"/>
    <n v="8"/>
    <n v="25997"/>
    <n v="207976"/>
    <x v="1"/>
    <x v="11"/>
  </r>
  <r>
    <x v="75"/>
    <x v="71"/>
    <s v="CUST1294"/>
    <x v="2"/>
    <x v="7"/>
    <x v="0"/>
    <n v="5"/>
    <n v="23040"/>
    <n v="115200"/>
    <x v="0"/>
    <x v="8"/>
  </r>
  <r>
    <x v="76"/>
    <x v="72"/>
    <s v="CUST1124"/>
    <x v="2"/>
    <x v="12"/>
    <x v="4"/>
    <n v="4"/>
    <n v="1647"/>
    <n v="6588"/>
    <x v="0"/>
    <x v="0"/>
  </r>
  <r>
    <x v="77"/>
    <x v="73"/>
    <s v="CUST1021"/>
    <x v="0"/>
    <x v="4"/>
    <x v="2"/>
    <n v="10"/>
    <n v="3713"/>
    <n v="37130"/>
    <x v="1"/>
    <x v="7"/>
  </r>
  <r>
    <x v="78"/>
    <x v="74"/>
    <s v="CUST1250"/>
    <x v="1"/>
    <x v="3"/>
    <x v="2"/>
    <n v="9"/>
    <n v="823"/>
    <n v="7407"/>
    <x v="0"/>
    <x v="0"/>
  </r>
  <r>
    <x v="79"/>
    <x v="75"/>
    <s v="CUST1333"/>
    <x v="1"/>
    <x v="4"/>
    <x v="2"/>
    <n v="8"/>
    <n v="3645"/>
    <n v="29160"/>
    <x v="0"/>
    <x v="6"/>
  </r>
  <r>
    <x v="80"/>
    <x v="76"/>
    <s v="CUST1165"/>
    <x v="0"/>
    <x v="2"/>
    <x v="1"/>
    <n v="8"/>
    <n v="1184"/>
    <n v="9472"/>
    <x v="0"/>
    <x v="5"/>
  </r>
  <r>
    <x v="81"/>
    <x v="77"/>
    <s v="CUST1342"/>
    <x v="3"/>
    <x v="0"/>
    <x v="0"/>
    <n v="8"/>
    <n v="2846"/>
    <n v="22768"/>
    <x v="0"/>
    <x v="14"/>
  </r>
  <r>
    <x v="82"/>
    <x v="78"/>
    <s v="CUST1174"/>
    <x v="3"/>
    <x v="12"/>
    <x v="4"/>
    <n v="3"/>
    <n v="1795"/>
    <n v="5385"/>
    <x v="0"/>
    <x v="6"/>
  </r>
  <r>
    <x v="83"/>
    <x v="79"/>
    <s v="CUST1208"/>
    <x v="2"/>
    <x v="4"/>
    <x v="2"/>
    <n v="1"/>
    <n v="3511"/>
    <n v="3511"/>
    <x v="0"/>
    <x v="13"/>
  </r>
  <r>
    <x v="84"/>
    <x v="80"/>
    <s v="CUST1047"/>
    <x v="0"/>
    <x v="6"/>
    <x v="3"/>
    <n v="8"/>
    <n v="9262"/>
    <n v="74096"/>
    <x v="0"/>
    <x v="6"/>
  </r>
  <r>
    <x v="85"/>
    <x v="81"/>
    <s v="CUST1217"/>
    <x v="3"/>
    <x v="14"/>
    <x v="3"/>
    <n v="10"/>
    <n v="11685"/>
    <n v="116850"/>
    <x v="0"/>
    <x v="2"/>
  </r>
  <r>
    <x v="86"/>
    <x v="82"/>
    <s v="CUST1098"/>
    <x v="0"/>
    <x v="4"/>
    <x v="2"/>
    <n v="8"/>
    <n v="3339"/>
    <n v="26712"/>
    <x v="0"/>
    <x v="7"/>
  </r>
  <r>
    <x v="87"/>
    <x v="40"/>
    <s v="CUST1301"/>
    <x v="3"/>
    <x v="8"/>
    <x v="1"/>
    <n v="3"/>
    <n v="1407"/>
    <n v="4221"/>
    <x v="0"/>
    <x v="10"/>
  </r>
  <r>
    <x v="88"/>
    <x v="83"/>
    <s v="CUST1007"/>
    <x v="1"/>
    <x v="3"/>
    <x v="2"/>
    <n v="4"/>
    <n v="767"/>
    <n v="3068"/>
    <x v="0"/>
    <x v="2"/>
  </r>
  <r>
    <x v="89"/>
    <x v="84"/>
    <s v="CUST1326"/>
    <x v="1"/>
    <x v="3"/>
    <x v="2"/>
    <n v="1"/>
    <n v="808"/>
    <n v="808"/>
    <x v="0"/>
    <x v="5"/>
  </r>
  <r>
    <x v="90"/>
    <x v="14"/>
    <s v="CUST1094"/>
    <x v="2"/>
    <x v="1"/>
    <x v="0"/>
    <n v="10"/>
    <n v="52627"/>
    <n v="526270"/>
    <x v="0"/>
    <x v="4"/>
  </r>
  <r>
    <x v="91"/>
    <x v="85"/>
    <s v="CUST1027"/>
    <x v="3"/>
    <x v="10"/>
    <x v="4"/>
    <n v="2"/>
    <n v="1176"/>
    <n v="2352"/>
    <x v="0"/>
    <x v="9"/>
  </r>
  <r>
    <x v="92"/>
    <x v="86"/>
    <s v="CUST1310"/>
    <x v="3"/>
    <x v="2"/>
    <x v="1"/>
    <n v="2"/>
    <n v="1318"/>
    <n v="2636"/>
    <x v="0"/>
    <x v="11"/>
  </r>
  <r>
    <x v="93"/>
    <x v="87"/>
    <s v="CUST1219"/>
    <x v="2"/>
    <x v="6"/>
    <x v="3"/>
    <n v="7"/>
    <n v="8910"/>
    <n v="62370"/>
    <x v="0"/>
    <x v="6"/>
  </r>
  <r>
    <x v="94"/>
    <x v="88"/>
    <s v="CUST1080"/>
    <x v="0"/>
    <x v="1"/>
    <x v="0"/>
    <n v="4"/>
    <n v="56380"/>
    <n v="225520"/>
    <x v="0"/>
    <x v="1"/>
  </r>
  <r>
    <x v="95"/>
    <x v="89"/>
    <s v="CUST1149"/>
    <x v="3"/>
    <x v="7"/>
    <x v="0"/>
    <n v="1"/>
    <n v="24542"/>
    <n v="24542"/>
    <x v="0"/>
    <x v="4"/>
  </r>
  <r>
    <x v="96"/>
    <x v="90"/>
    <s v="CUST1320"/>
    <x v="3"/>
    <x v="4"/>
    <x v="2"/>
    <n v="8"/>
    <n v="3199"/>
    <n v="25592"/>
    <x v="0"/>
    <x v="11"/>
  </r>
  <r>
    <x v="97"/>
    <x v="91"/>
    <s v="CUST1072"/>
    <x v="0"/>
    <x v="14"/>
    <x v="3"/>
    <n v="2"/>
    <n v="12106"/>
    <n v="24212"/>
    <x v="0"/>
    <x v="0"/>
  </r>
  <r>
    <x v="98"/>
    <x v="13"/>
    <s v="CUST1155"/>
    <x v="3"/>
    <x v="4"/>
    <x v="2"/>
    <n v="10"/>
    <n v="3794"/>
    <n v="37940"/>
    <x v="0"/>
    <x v="2"/>
  </r>
  <r>
    <x v="99"/>
    <x v="92"/>
    <s v="CUST1221"/>
    <x v="1"/>
    <x v="4"/>
    <x v="2"/>
    <n v="9"/>
    <n v="3495"/>
    <n v="31455"/>
    <x v="0"/>
    <x v="2"/>
  </r>
  <r>
    <x v="100"/>
    <x v="93"/>
    <s v="CUST1300"/>
    <x v="3"/>
    <x v="3"/>
    <x v="2"/>
    <n v="2"/>
    <n v="756"/>
    <n v="1512"/>
    <x v="0"/>
    <x v="4"/>
  </r>
  <r>
    <x v="101"/>
    <x v="58"/>
    <s v="CUST1333"/>
    <x v="2"/>
    <x v="4"/>
    <x v="2"/>
    <n v="1"/>
    <n v="3684"/>
    <n v="3684"/>
    <x v="0"/>
    <x v="13"/>
  </r>
  <r>
    <x v="102"/>
    <x v="94"/>
    <s v="CUST1240"/>
    <x v="2"/>
    <x v="6"/>
    <x v="3"/>
    <n v="7"/>
    <n v="9242"/>
    <n v="64694"/>
    <x v="0"/>
    <x v="7"/>
  </r>
  <r>
    <x v="103"/>
    <x v="95"/>
    <s v="CUST1253"/>
    <x v="1"/>
    <x v="4"/>
    <x v="2"/>
    <n v="2"/>
    <n v="3750"/>
    <n v="7500"/>
    <x v="0"/>
    <x v="6"/>
  </r>
  <r>
    <x v="104"/>
    <x v="96"/>
    <s v="CUST1059"/>
    <x v="0"/>
    <x v="9"/>
    <x v="4"/>
    <n v="1"/>
    <n v="495"/>
    <n v="495"/>
    <x v="0"/>
    <x v="10"/>
  </r>
  <r>
    <x v="105"/>
    <x v="58"/>
    <s v="CUST1185"/>
    <x v="1"/>
    <x v="11"/>
    <x v="1"/>
    <n v="9"/>
    <n v="2480"/>
    <n v="22320"/>
    <x v="0"/>
    <x v="11"/>
  </r>
  <r>
    <x v="106"/>
    <x v="97"/>
    <s v="CUST1224"/>
    <x v="2"/>
    <x v="10"/>
    <x v="4"/>
    <n v="4"/>
    <n v="1144"/>
    <n v="4576"/>
    <x v="0"/>
    <x v="3"/>
  </r>
  <r>
    <x v="107"/>
    <x v="71"/>
    <s v="CUST1282"/>
    <x v="0"/>
    <x v="1"/>
    <x v="0"/>
    <n v="10"/>
    <n v="58292"/>
    <n v="582920"/>
    <x v="0"/>
    <x v="4"/>
  </r>
  <r>
    <x v="108"/>
    <x v="69"/>
    <s v="CUST1255"/>
    <x v="0"/>
    <x v="7"/>
    <x v="0"/>
    <n v="2"/>
    <n v="24807"/>
    <n v="49614"/>
    <x v="0"/>
    <x v="3"/>
  </r>
  <r>
    <x v="109"/>
    <x v="98"/>
    <s v="CUST1124"/>
    <x v="0"/>
    <x v="8"/>
    <x v="1"/>
    <n v="5"/>
    <n v="1474"/>
    <n v="7370"/>
    <x v="0"/>
    <x v="13"/>
  </r>
  <r>
    <x v="110"/>
    <x v="99"/>
    <s v="CUST1141"/>
    <x v="0"/>
    <x v="10"/>
    <x v="4"/>
    <n v="10"/>
    <n v="1201"/>
    <n v="12010"/>
    <x v="2"/>
    <x v="10"/>
  </r>
  <r>
    <x v="111"/>
    <x v="100"/>
    <s v="CUST1300"/>
    <x v="2"/>
    <x v="12"/>
    <x v="4"/>
    <n v="9"/>
    <n v="1716"/>
    <n v="15444"/>
    <x v="0"/>
    <x v="11"/>
  </r>
  <r>
    <x v="112"/>
    <x v="42"/>
    <s v="CUST1278"/>
    <x v="2"/>
    <x v="10"/>
    <x v="4"/>
    <n v="8"/>
    <n v="1209"/>
    <n v="9672"/>
    <x v="0"/>
    <x v="14"/>
  </r>
  <r>
    <x v="113"/>
    <x v="45"/>
    <s v="CUST1022"/>
    <x v="1"/>
    <x v="3"/>
    <x v="2"/>
    <n v="4"/>
    <n v="811"/>
    <n v="3244"/>
    <x v="0"/>
    <x v="7"/>
  </r>
  <r>
    <x v="114"/>
    <x v="101"/>
    <s v="CUST1302"/>
    <x v="0"/>
    <x v="12"/>
    <x v="4"/>
    <n v="3"/>
    <n v="1798"/>
    <n v="5394"/>
    <x v="0"/>
    <x v="7"/>
  </r>
  <r>
    <x v="115"/>
    <x v="102"/>
    <s v="CUST1209"/>
    <x v="2"/>
    <x v="10"/>
    <x v="4"/>
    <n v="9"/>
    <n v="1298"/>
    <n v="11682"/>
    <x v="0"/>
    <x v="5"/>
  </r>
  <r>
    <x v="116"/>
    <x v="103"/>
    <s v="CUST1203"/>
    <x v="0"/>
    <x v="13"/>
    <x v="3"/>
    <n v="8"/>
    <n v="7394"/>
    <n v="59152"/>
    <x v="0"/>
    <x v="8"/>
  </r>
  <r>
    <x v="117"/>
    <x v="104"/>
    <s v="CUST1277"/>
    <x v="3"/>
    <x v="4"/>
    <x v="2"/>
    <n v="9"/>
    <n v="3416"/>
    <n v="30744"/>
    <x v="0"/>
    <x v="4"/>
  </r>
  <r>
    <x v="118"/>
    <x v="105"/>
    <s v="CUST1050"/>
    <x v="0"/>
    <x v="6"/>
    <x v="3"/>
    <n v="5"/>
    <n v="9895"/>
    <n v="49475"/>
    <x v="0"/>
    <x v="10"/>
  </r>
  <r>
    <x v="119"/>
    <x v="106"/>
    <s v="CUST1166"/>
    <x v="0"/>
    <x v="15"/>
    <x v="0"/>
    <n v="3"/>
    <n v="8310"/>
    <n v="24930"/>
    <x v="2"/>
    <x v="10"/>
  </r>
  <r>
    <x v="120"/>
    <x v="73"/>
    <s v="CUST1349"/>
    <x v="3"/>
    <x v="5"/>
    <x v="2"/>
    <n v="7"/>
    <n v="1672"/>
    <n v="11704"/>
    <x v="0"/>
    <x v="10"/>
  </r>
  <r>
    <x v="121"/>
    <x v="79"/>
    <s v="CUST1254"/>
    <x v="3"/>
    <x v="13"/>
    <x v="3"/>
    <n v="10"/>
    <n v="7519"/>
    <n v="75190"/>
    <x v="0"/>
    <x v="3"/>
  </r>
  <r>
    <x v="122"/>
    <x v="107"/>
    <s v="CUST1147"/>
    <x v="0"/>
    <x v="14"/>
    <x v="3"/>
    <n v="5"/>
    <n v="11902"/>
    <n v="59510"/>
    <x v="0"/>
    <x v="8"/>
  </r>
  <r>
    <x v="123"/>
    <x v="108"/>
    <s v="CUST1128"/>
    <x v="1"/>
    <x v="15"/>
    <x v="0"/>
    <n v="6"/>
    <n v="8780"/>
    <n v="52680"/>
    <x v="0"/>
    <x v="13"/>
  </r>
  <r>
    <x v="124"/>
    <x v="109"/>
    <s v="CUST1294"/>
    <x v="2"/>
    <x v="14"/>
    <x v="3"/>
    <n v="8"/>
    <n v="11055"/>
    <n v="88440"/>
    <x v="0"/>
    <x v="6"/>
  </r>
  <r>
    <x v="125"/>
    <x v="39"/>
    <s v="CUST1025"/>
    <x v="2"/>
    <x v="3"/>
    <x v="2"/>
    <n v="7"/>
    <n v="763"/>
    <n v="5341"/>
    <x v="0"/>
    <x v="3"/>
  </r>
  <r>
    <x v="126"/>
    <x v="110"/>
    <s v="CUST1097"/>
    <x v="0"/>
    <x v="12"/>
    <x v="4"/>
    <n v="4"/>
    <n v="1838"/>
    <n v="7352"/>
    <x v="0"/>
    <x v="11"/>
  </r>
  <r>
    <x v="127"/>
    <x v="111"/>
    <s v="CUST1225"/>
    <x v="3"/>
    <x v="6"/>
    <x v="3"/>
    <n v="2"/>
    <n v="9726"/>
    <n v="19452"/>
    <x v="0"/>
    <x v="4"/>
  </r>
  <r>
    <x v="128"/>
    <x v="112"/>
    <s v="CUST1067"/>
    <x v="0"/>
    <x v="13"/>
    <x v="3"/>
    <n v="5"/>
    <n v="6757"/>
    <n v="33785"/>
    <x v="0"/>
    <x v="10"/>
  </r>
  <r>
    <x v="129"/>
    <x v="113"/>
    <s v="CUST1246"/>
    <x v="1"/>
    <x v="4"/>
    <x v="2"/>
    <n v="9"/>
    <n v="3789"/>
    <n v="34101"/>
    <x v="1"/>
    <x v="10"/>
  </r>
  <r>
    <x v="130"/>
    <x v="114"/>
    <s v="CUST1346"/>
    <x v="3"/>
    <x v="3"/>
    <x v="2"/>
    <n v="8"/>
    <n v="874"/>
    <n v="6992"/>
    <x v="0"/>
    <x v="2"/>
  </r>
  <r>
    <x v="131"/>
    <x v="90"/>
    <s v="CUST1274"/>
    <x v="0"/>
    <x v="9"/>
    <x v="4"/>
    <n v="6"/>
    <n v="459"/>
    <n v="2754"/>
    <x v="0"/>
    <x v="0"/>
  </r>
  <r>
    <x v="132"/>
    <x v="25"/>
    <s v="CUST1345"/>
    <x v="1"/>
    <x v="4"/>
    <x v="2"/>
    <n v="7"/>
    <n v="3725"/>
    <n v="26075"/>
    <x v="2"/>
    <x v="1"/>
  </r>
  <r>
    <x v="133"/>
    <x v="115"/>
    <s v="CUST1325"/>
    <x v="1"/>
    <x v="8"/>
    <x v="1"/>
    <n v="6"/>
    <n v="1624"/>
    <n v="9744"/>
    <x v="0"/>
    <x v="5"/>
  </r>
  <r>
    <x v="134"/>
    <x v="46"/>
    <s v="CUST1155"/>
    <x v="1"/>
    <x v="4"/>
    <x v="2"/>
    <n v="7"/>
    <n v="3231"/>
    <n v="22617"/>
    <x v="0"/>
    <x v="13"/>
  </r>
  <r>
    <x v="135"/>
    <x v="62"/>
    <s v="CUST1276"/>
    <x v="3"/>
    <x v="6"/>
    <x v="3"/>
    <n v="3"/>
    <n v="8799"/>
    <n v="26397"/>
    <x v="0"/>
    <x v="14"/>
  </r>
  <r>
    <x v="136"/>
    <x v="116"/>
    <s v="CUST1016"/>
    <x v="0"/>
    <x v="14"/>
    <x v="3"/>
    <n v="2"/>
    <n v="12800"/>
    <n v="25600"/>
    <x v="0"/>
    <x v="2"/>
  </r>
  <r>
    <x v="137"/>
    <x v="39"/>
    <s v="CUST1188"/>
    <x v="1"/>
    <x v="12"/>
    <x v="4"/>
    <n v="4"/>
    <n v="1927"/>
    <n v="7708"/>
    <x v="0"/>
    <x v="12"/>
  </r>
  <r>
    <x v="138"/>
    <x v="6"/>
    <s v="CUST1046"/>
    <x v="2"/>
    <x v="3"/>
    <x v="2"/>
    <n v="7"/>
    <n v="764"/>
    <n v="5348"/>
    <x v="2"/>
    <x v="8"/>
  </r>
  <r>
    <x v="139"/>
    <x v="84"/>
    <s v="CUST1289"/>
    <x v="3"/>
    <x v="11"/>
    <x v="1"/>
    <n v="1"/>
    <n v="2643"/>
    <n v="2643"/>
    <x v="0"/>
    <x v="1"/>
  </r>
  <r>
    <x v="140"/>
    <x v="117"/>
    <s v="CUST1075"/>
    <x v="3"/>
    <x v="11"/>
    <x v="1"/>
    <n v="10"/>
    <n v="2357"/>
    <n v="23570"/>
    <x v="0"/>
    <x v="10"/>
  </r>
  <r>
    <x v="141"/>
    <x v="118"/>
    <s v="CUST1056"/>
    <x v="2"/>
    <x v="0"/>
    <x v="0"/>
    <n v="3"/>
    <n v="3292"/>
    <n v="9876"/>
    <x v="0"/>
    <x v="8"/>
  </r>
  <r>
    <x v="142"/>
    <x v="96"/>
    <s v="CUST1008"/>
    <x v="2"/>
    <x v="13"/>
    <x v="3"/>
    <n v="6"/>
    <n v="7405"/>
    <n v="44430"/>
    <x v="0"/>
    <x v="9"/>
  </r>
  <r>
    <x v="143"/>
    <x v="119"/>
    <s v="CUST1229"/>
    <x v="3"/>
    <x v="6"/>
    <x v="3"/>
    <n v="7"/>
    <n v="9046"/>
    <n v="63322"/>
    <x v="0"/>
    <x v="10"/>
  </r>
  <r>
    <x v="144"/>
    <x v="120"/>
    <s v="CUST1337"/>
    <x v="1"/>
    <x v="11"/>
    <x v="1"/>
    <n v="8"/>
    <n v="2501"/>
    <n v="20008"/>
    <x v="2"/>
    <x v="12"/>
  </r>
  <r>
    <x v="145"/>
    <x v="25"/>
    <s v="CUST1251"/>
    <x v="3"/>
    <x v="1"/>
    <x v="0"/>
    <n v="8"/>
    <n v="58820"/>
    <n v="470560"/>
    <x v="0"/>
    <x v="2"/>
  </r>
  <r>
    <x v="146"/>
    <x v="121"/>
    <s v="CUST1319"/>
    <x v="2"/>
    <x v="1"/>
    <x v="0"/>
    <n v="6"/>
    <n v="56191"/>
    <n v="337146"/>
    <x v="0"/>
    <x v="8"/>
  </r>
  <r>
    <x v="147"/>
    <x v="122"/>
    <s v="CUST1220"/>
    <x v="0"/>
    <x v="5"/>
    <x v="2"/>
    <n v="10"/>
    <n v="1811"/>
    <n v="18110"/>
    <x v="0"/>
    <x v="0"/>
  </r>
  <r>
    <x v="148"/>
    <x v="123"/>
    <s v="CUST1232"/>
    <x v="2"/>
    <x v="7"/>
    <x v="0"/>
    <n v="7"/>
    <n v="24757"/>
    <n v="173299"/>
    <x v="0"/>
    <x v="14"/>
  </r>
  <r>
    <x v="149"/>
    <x v="69"/>
    <s v="CUST1242"/>
    <x v="1"/>
    <x v="0"/>
    <x v="0"/>
    <n v="7"/>
    <n v="2887"/>
    <n v="20209"/>
    <x v="0"/>
    <x v="0"/>
  </r>
  <r>
    <x v="150"/>
    <x v="124"/>
    <s v="CUST1284"/>
    <x v="3"/>
    <x v="1"/>
    <x v="0"/>
    <n v="7"/>
    <n v="50562"/>
    <n v="353934"/>
    <x v="0"/>
    <x v="4"/>
  </r>
  <r>
    <x v="151"/>
    <x v="125"/>
    <s v="CUST1216"/>
    <x v="0"/>
    <x v="8"/>
    <x v="1"/>
    <n v="6"/>
    <n v="1551"/>
    <n v="9306"/>
    <x v="0"/>
    <x v="5"/>
  </r>
  <r>
    <x v="152"/>
    <x v="15"/>
    <s v="CUST1108"/>
    <x v="2"/>
    <x v="0"/>
    <x v="0"/>
    <n v="10"/>
    <n v="2887"/>
    <n v="28870"/>
    <x v="0"/>
    <x v="9"/>
  </r>
  <r>
    <x v="153"/>
    <x v="126"/>
    <s v="CUST1293"/>
    <x v="0"/>
    <x v="13"/>
    <x v="3"/>
    <n v="6"/>
    <n v="7483"/>
    <n v="44898"/>
    <x v="0"/>
    <x v="1"/>
  </r>
  <r>
    <x v="154"/>
    <x v="127"/>
    <s v="CUST1336"/>
    <x v="2"/>
    <x v="8"/>
    <x v="1"/>
    <n v="10"/>
    <n v="1552"/>
    <n v="15520"/>
    <x v="0"/>
    <x v="5"/>
  </r>
  <r>
    <x v="155"/>
    <x v="123"/>
    <s v="CUST1179"/>
    <x v="0"/>
    <x v="7"/>
    <x v="0"/>
    <n v="5"/>
    <n v="26013"/>
    <n v="130065"/>
    <x v="0"/>
    <x v="4"/>
  </r>
  <r>
    <x v="156"/>
    <x v="128"/>
    <s v="CUST1046"/>
    <x v="3"/>
    <x v="6"/>
    <x v="3"/>
    <n v="7"/>
    <n v="8225"/>
    <n v="57575"/>
    <x v="0"/>
    <x v="2"/>
  </r>
  <r>
    <x v="157"/>
    <x v="129"/>
    <s v="CUST1290"/>
    <x v="1"/>
    <x v="12"/>
    <x v="4"/>
    <n v="8"/>
    <n v="1742"/>
    <n v="13936"/>
    <x v="0"/>
    <x v="11"/>
  </r>
  <r>
    <x v="158"/>
    <x v="88"/>
    <s v="CUST1139"/>
    <x v="3"/>
    <x v="7"/>
    <x v="0"/>
    <n v="3"/>
    <n v="26272"/>
    <n v="78816"/>
    <x v="0"/>
    <x v="13"/>
  </r>
  <r>
    <x v="159"/>
    <x v="130"/>
    <s v="CUST1058"/>
    <x v="0"/>
    <x v="9"/>
    <x v="4"/>
    <n v="8"/>
    <n v="491"/>
    <n v="3928"/>
    <x v="0"/>
    <x v="7"/>
  </r>
  <r>
    <x v="160"/>
    <x v="106"/>
    <s v="CUST1112"/>
    <x v="1"/>
    <x v="4"/>
    <x v="2"/>
    <n v="10"/>
    <n v="3490"/>
    <n v="34900"/>
    <x v="0"/>
    <x v="14"/>
  </r>
  <r>
    <x v="161"/>
    <x v="131"/>
    <s v="CUST1130"/>
    <x v="2"/>
    <x v="1"/>
    <x v="0"/>
    <n v="4"/>
    <n v="52815"/>
    <n v="211260"/>
    <x v="0"/>
    <x v="6"/>
  </r>
  <r>
    <x v="162"/>
    <x v="132"/>
    <s v="CUST1117"/>
    <x v="3"/>
    <x v="15"/>
    <x v="0"/>
    <n v="7"/>
    <n v="7481"/>
    <n v="52367"/>
    <x v="0"/>
    <x v="12"/>
  </r>
  <r>
    <x v="163"/>
    <x v="133"/>
    <s v="CUST1235"/>
    <x v="0"/>
    <x v="3"/>
    <x v="2"/>
    <n v="7"/>
    <n v="857"/>
    <n v="5999"/>
    <x v="0"/>
    <x v="3"/>
  </r>
  <r>
    <x v="164"/>
    <x v="86"/>
    <s v="CUST1148"/>
    <x v="3"/>
    <x v="4"/>
    <x v="2"/>
    <n v="7"/>
    <n v="3551"/>
    <n v="24857"/>
    <x v="0"/>
    <x v="0"/>
  </r>
  <r>
    <x v="165"/>
    <x v="134"/>
    <s v="CUST1045"/>
    <x v="1"/>
    <x v="3"/>
    <x v="2"/>
    <n v="10"/>
    <n v="793"/>
    <n v="7930"/>
    <x v="0"/>
    <x v="14"/>
  </r>
  <r>
    <x v="166"/>
    <x v="111"/>
    <s v="CUST1173"/>
    <x v="2"/>
    <x v="14"/>
    <x v="3"/>
    <n v="10"/>
    <n v="11761"/>
    <n v="117610"/>
    <x v="0"/>
    <x v="1"/>
  </r>
  <r>
    <x v="167"/>
    <x v="135"/>
    <s v="CUST1178"/>
    <x v="3"/>
    <x v="13"/>
    <x v="3"/>
    <n v="9"/>
    <n v="7186"/>
    <n v="64674"/>
    <x v="0"/>
    <x v="7"/>
  </r>
  <r>
    <x v="168"/>
    <x v="136"/>
    <s v="CUST1078"/>
    <x v="0"/>
    <x v="13"/>
    <x v="3"/>
    <n v="2"/>
    <n v="6505"/>
    <n v="13010"/>
    <x v="0"/>
    <x v="10"/>
  </r>
  <r>
    <x v="169"/>
    <x v="137"/>
    <s v="CUST1229"/>
    <x v="2"/>
    <x v="7"/>
    <x v="0"/>
    <n v="8"/>
    <n v="24819"/>
    <n v="198552"/>
    <x v="0"/>
    <x v="8"/>
  </r>
  <r>
    <x v="170"/>
    <x v="33"/>
    <s v="CUST1077"/>
    <x v="2"/>
    <x v="8"/>
    <x v="1"/>
    <n v="10"/>
    <n v="1446"/>
    <n v="14460"/>
    <x v="2"/>
    <x v="13"/>
  </r>
  <r>
    <x v="171"/>
    <x v="138"/>
    <s v="CUST1259"/>
    <x v="3"/>
    <x v="9"/>
    <x v="4"/>
    <n v="5"/>
    <n v="529"/>
    <n v="2645"/>
    <x v="0"/>
    <x v="0"/>
  </r>
  <r>
    <x v="172"/>
    <x v="139"/>
    <s v="CUST1046"/>
    <x v="3"/>
    <x v="10"/>
    <x v="4"/>
    <n v="1"/>
    <n v="1168"/>
    <n v="1168"/>
    <x v="0"/>
    <x v="11"/>
  </r>
  <r>
    <x v="173"/>
    <x v="140"/>
    <s v="CUST1230"/>
    <x v="0"/>
    <x v="12"/>
    <x v="4"/>
    <n v="10"/>
    <n v="1819"/>
    <n v="18190"/>
    <x v="1"/>
    <x v="3"/>
  </r>
  <r>
    <x v="174"/>
    <x v="141"/>
    <s v="CUST1230"/>
    <x v="2"/>
    <x v="14"/>
    <x v="3"/>
    <n v="10"/>
    <n v="11941"/>
    <n v="119410"/>
    <x v="0"/>
    <x v="0"/>
  </r>
  <r>
    <x v="175"/>
    <x v="142"/>
    <s v="CUST1224"/>
    <x v="2"/>
    <x v="4"/>
    <x v="2"/>
    <n v="2"/>
    <n v="3503"/>
    <n v="7006"/>
    <x v="0"/>
    <x v="13"/>
  </r>
  <r>
    <x v="176"/>
    <x v="143"/>
    <s v="CUST1173"/>
    <x v="1"/>
    <x v="11"/>
    <x v="1"/>
    <n v="6"/>
    <n v="2436"/>
    <n v="14616"/>
    <x v="0"/>
    <x v="8"/>
  </r>
  <r>
    <x v="177"/>
    <x v="144"/>
    <s v="CUST1129"/>
    <x v="0"/>
    <x v="3"/>
    <x v="2"/>
    <n v="6"/>
    <n v="735"/>
    <n v="4410"/>
    <x v="0"/>
    <x v="2"/>
  </r>
  <r>
    <x v="178"/>
    <x v="145"/>
    <s v="CUST1158"/>
    <x v="2"/>
    <x v="11"/>
    <x v="1"/>
    <n v="6"/>
    <n v="2290"/>
    <n v="13740"/>
    <x v="0"/>
    <x v="8"/>
  </r>
  <r>
    <x v="179"/>
    <x v="59"/>
    <s v="CUST1192"/>
    <x v="0"/>
    <x v="10"/>
    <x v="4"/>
    <n v="10"/>
    <n v="1250"/>
    <n v="12500"/>
    <x v="0"/>
    <x v="8"/>
  </r>
  <r>
    <x v="180"/>
    <x v="146"/>
    <s v="CUST1185"/>
    <x v="2"/>
    <x v="6"/>
    <x v="3"/>
    <n v="9"/>
    <n v="8268"/>
    <n v="74412"/>
    <x v="0"/>
    <x v="4"/>
  </r>
  <r>
    <x v="181"/>
    <x v="114"/>
    <s v="CUST1070"/>
    <x v="1"/>
    <x v="13"/>
    <x v="3"/>
    <n v="6"/>
    <n v="7626"/>
    <n v="45756"/>
    <x v="0"/>
    <x v="9"/>
  </r>
  <r>
    <x v="182"/>
    <x v="147"/>
    <s v="CUST1192"/>
    <x v="3"/>
    <x v="1"/>
    <x v="0"/>
    <n v="6"/>
    <n v="59140"/>
    <n v="354840"/>
    <x v="0"/>
    <x v="9"/>
  </r>
  <r>
    <x v="183"/>
    <x v="44"/>
    <s v="CUST1227"/>
    <x v="3"/>
    <x v="11"/>
    <x v="1"/>
    <n v="8"/>
    <n v="2271"/>
    <n v="18168"/>
    <x v="0"/>
    <x v="11"/>
  </r>
  <r>
    <x v="184"/>
    <x v="89"/>
    <s v="CUST1099"/>
    <x v="3"/>
    <x v="10"/>
    <x v="4"/>
    <n v="9"/>
    <n v="1137"/>
    <n v="10233"/>
    <x v="2"/>
    <x v="7"/>
  </r>
  <r>
    <x v="185"/>
    <x v="101"/>
    <s v="CUST1270"/>
    <x v="0"/>
    <x v="2"/>
    <x v="1"/>
    <n v="8"/>
    <n v="1264"/>
    <n v="10112"/>
    <x v="0"/>
    <x v="14"/>
  </r>
  <r>
    <x v="186"/>
    <x v="148"/>
    <s v="CUST1190"/>
    <x v="2"/>
    <x v="6"/>
    <x v="3"/>
    <n v="3"/>
    <n v="9671"/>
    <n v="29013"/>
    <x v="0"/>
    <x v="12"/>
  </r>
  <r>
    <x v="187"/>
    <x v="149"/>
    <s v="CUST1262"/>
    <x v="2"/>
    <x v="11"/>
    <x v="1"/>
    <n v="5"/>
    <n v="2291"/>
    <n v="11455"/>
    <x v="0"/>
    <x v="9"/>
  </r>
  <r>
    <x v="188"/>
    <x v="150"/>
    <s v="CUST1027"/>
    <x v="2"/>
    <x v="7"/>
    <x v="0"/>
    <n v="8"/>
    <n v="26923"/>
    <n v="215384"/>
    <x v="1"/>
    <x v="14"/>
  </r>
  <r>
    <x v="189"/>
    <x v="151"/>
    <s v="CUST1332"/>
    <x v="1"/>
    <x v="14"/>
    <x v="3"/>
    <n v="2"/>
    <n v="11699"/>
    <n v="23398"/>
    <x v="0"/>
    <x v="7"/>
  </r>
  <r>
    <x v="190"/>
    <x v="152"/>
    <s v="CUST1240"/>
    <x v="2"/>
    <x v="13"/>
    <x v="3"/>
    <n v="5"/>
    <n v="7584"/>
    <n v="37920"/>
    <x v="0"/>
    <x v="13"/>
  </r>
  <r>
    <x v="191"/>
    <x v="127"/>
    <s v="CUST1270"/>
    <x v="0"/>
    <x v="1"/>
    <x v="0"/>
    <n v="5"/>
    <n v="51872"/>
    <n v="259360"/>
    <x v="0"/>
    <x v="14"/>
  </r>
  <r>
    <x v="192"/>
    <x v="8"/>
    <s v="CUST1318"/>
    <x v="3"/>
    <x v="3"/>
    <x v="2"/>
    <n v="5"/>
    <n v="739"/>
    <n v="3695"/>
    <x v="0"/>
    <x v="13"/>
  </r>
  <r>
    <x v="193"/>
    <x v="79"/>
    <s v="CUST1073"/>
    <x v="3"/>
    <x v="9"/>
    <x v="4"/>
    <n v="9"/>
    <n v="451"/>
    <n v="4059"/>
    <x v="0"/>
    <x v="6"/>
  </r>
  <r>
    <x v="194"/>
    <x v="153"/>
    <s v="CUST1043"/>
    <x v="1"/>
    <x v="2"/>
    <x v="1"/>
    <n v="4"/>
    <n v="1216"/>
    <n v="4864"/>
    <x v="0"/>
    <x v="12"/>
  </r>
  <r>
    <x v="195"/>
    <x v="154"/>
    <s v="CUST1191"/>
    <x v="2"/>
    <x v="1"/>
    <x v="0"/>
    <n v="7"/>
    <n v="59106"/>
    <n v="413742"/>
    <x v="0"/>
    <x v="6"/>
  </r>
  <r>
    <x v="196"/>
    <x v="155"/>
    <s v="CUST1297"/>
    <x v="0"/>
    <x v="3"/>
    <x v="2"/>
    <n v="6"/>
    <n v="758"/>
    <n v="4548"/>
    <x v="0"/>
    <x v="2"/>
  </r>
  <r>
    <x v="197"/>
    <x v="118"/>
    <s v="CUST1237"/>
    <x v="2"/>
    <x v="13"/>
    <x v="3"/>
    <n v="6"/>
    <n v="7064"/>
    <n v="42384"/>
    <x v="0"/>
    <x v="2"/>
  </r>
  <r>
    <x v="198"/>
    <x v="156"/>
    <s v="CUST1150"/>
    <x v="1"/>
    <x v="13"/>
    <x v="3"/>
    <n v="2"/>
    <n v="7302"/>
    <n v="14604"/>
    <x v="2"/>
    <x v="1"/>
  </r>
  <r>
    <x v="199"/>
    <x v="157"/>
    <s v="CUST1242"/>
    <x v="3"/>
    <x v="13"/>
    <x v="3"/>
    <n v="6"/>
    <n v="7606"/>
    <n v="45636"/>
    <x v="0"/>
    <x v="6"/>
  </r>
  <r>
    <x v="200"/>
    <x v="57"/>
    <s v="CUST1169"/>
    <x v="3"/>
    <x v="14"/>
    <x v="3"/>
    <n v="6"/>
    <n v="12869"/>
    <n v="77214"/>
    <x v="0"/>
    <x v="6"/>
  </r>
  <r>
    <x v="201"/>
    <x v="158"/>
    <s v="CUST1173"/>
    <x v="3"/>
    <x v="5"/>
    <x v="2"/>
    <n v="7"/>
    <n v="1887"/>
    <n v="13209"/>
    <x v="0"/>
    <x v="9"/>
  </r>
  <r>
    <x v="202"/>
    <x v="108"/>
    <s v="CUST1040"/>
    <x v="1"/>
    <x v="12"/>
    <x v="4"/>
    <n v="9"/>
    <n v="1716"/>
    <n v="15444"/>
    <x v="0"/>
    <x v="14"/>
  </r>
  <r>
    <x v="203"/>
    <x v="159"/>
    <s v="CUST1151"/>
    <x v="0"/>
    <x v="6"/>
    <x v="3"/>
    <n v="5"/>
    <n v="8678"/>
    <n v="43390"/>
    <x v="0"/>
    <x v="6"/>
  </r>
  <r>
    <x v="204"/>
    <x v="138"/>
    <s v="CUST1314"/>
    <x v="1"/>
    <x v="10"/>
    <x v="4"/>
    <n v="8"/>
    <n v="1164"/>
    <n v="9312"/>
    <x v="0"/>
    <x v="14"/>
  </r>
  <r>
    <x v="205"/>
    <x v="160"/>
    <s v="CUST1081"/>
    <x v="3"/>
    <x v="1"/>
    <x v="0"/>
    <n v="7"/>
    <n v="53496"/>
    <n v="374472"/>
    <x v="0"/>
    <x v="4"/>
  </r>
  <r>
    <x v="206"/>
    <x v="139"/>
    <s v="CUST1187"/>
    <x v="3"/>
    <x v="8"/>
    <x v="1"/>
    <n v="8"/>
    <n v="1360"/>
    <n v="10880"/>
    <x v="0"/>
    <x v="7"/>
  </r>
  <r>
    <x v="207"/>
    <x v="36"/>
    <s v="CUST1190"/>
    <x v="1"/>
    <x v="11"/>
    <x v="1"/>
    <n v="10"/>
    <n v="2326"/>
    <n v="23260"/>
    <x v="0"/>
    <x v="13"/>
  </r>
  <r>
    <x v="208"/>
    <x v="126"/>
    <s v="CUST1127"/>
    <x v="2"/>
    <x v="11"/>
    <x v="1"/>
    <n v="9"/>
    <n v="2433"/>
    <n v="21897"/>
    <x v="0"/>
    <x v="0"/>
  </r>
  <r>
    <x v="209"/>
    <x v="161"/>
    <s v="CUST1133"/>
    <x v="3"/>
    <x v="14"/>
    <x v="3"/>
    <n v="9"/>
    <n v="11728"/>
    <n v="105552"/>
    <x v="0"/>
    <x v="2"/>
  </r>
  <r>
    <x v="210"/>
    <x v="56"/>
    <s v="CUST1231"/>
    <x v="1"/>
    <x v="2"/>
    <x v="1"/>
    <n v="8"/>
    <n v="1128"/>
    <n v="9024"/>
    <x v="0"/>
    <x v="9"/>
  </r>
  <r>
    <x v="211"/>
    <x v="162"/>
    <s v="CUST1277"/>
    <x v="2"/>
    <x v="10"/>
    <x v="4"/>
    <n v="6"/>
    <n v="1240"/>
    <n v="7440"/>
    <x v="0"/>
    <x v="6"/>
  </r>
  <r>
    <x v="212"/>
    <x v="163"/>
    <s v="CUST1102"/>
    <x v="2"/>
    <x v="6"/>
    <x v="3"/>
    <n v="3"/>
    <n v="9528"/>
    <n v="28584"/>
    <x v="0"/>
    <x v="10"/>
  </r>
  <r>
    <x v="213"/>
    <x v="42"/>
    <s v="CUST1066"/>
    <x v="3"/>
    <x v="10"/>
    <x v="4"/>
    <n v="6"/>
    <n v="1212"/>
    <n v="7272"/>
    <x v="0"/>
    <x v="11"/>
  </r>
  <r>
    <x v="214"/>
    <x v="164"/>
    <s v="CUST1210"/>
    <x v="2"/>
    <x v="0"/>
    <x v="0"/>
    <n v="7"/>
    <n v="3299"/>
    <n v="23093"/>
    <x v="0"/>
    <x v="10"/>
  </r>
  <r>
    <x v="215"/>
    <x v="149"/>
    <s v="CUST1238"/>
    <x v="1"/>
    <x v="11"/>
    <x v="1"/>
    <n v="3"/>
    <n v="2736"/>
    <n v="8208"/>
    <x v="0"/>
    <x v="8"/>
  </r>
  <r>
    <x v="216"/>
    <x v="165"/>
    <s v="CUST1257"/>
    <x v="1"/>
    <x v="6"/>
    <x v="3"/>
    <n v="10"/>
    <n v="8427"/>
    <n v="84270"/>
    <x v="2"/>
    <x v="3"/>
  </r>
  <r>
    <x v="217"/>
    <x v="166"/>
    <s v="CUST1115"/>
    <x v="2"/>
    <x v="7"/>
    <x v="0"/>
    <n v="5"/>
    <n v="23323"/>
    <n v="116615"/>
    <x v="0"/>
    <x v="7"/>
  </r>
  <r>
    <x v="218"/>
    <x v="42"/>
    <s v="CUST1140"/>
    <x v="2"/>
    <x v="2"/>
    <x v="1"/>
    <n v="2"/>
    <n v="1140"/>
    <n v="2280"/>
    <x v="0"/>
    <x v="9"/>
  </r>
  <r>
    <x v="219"/>
    <x v="167"/>
    <s v="CUST1078"/>
    <x v="0"/>
    <x v="8"/>
    <x v="1"/>
    <n v="2"/>
    <n v="1500"/>
    <n v="3000"/>
    <x v="0"/>
    <x v="9"/>
  </r>
  <r>
    <x v="220"/>
    <x v="88"/>
    <s v="CUST1023"/>
    <x v="0"/>
    <x v="2"/>
    <x v="1"/>
    <n v="10"/>
    <n v="1089"/>
    <n v="10890"/>
    <x v="2"/>
    <x v="8"/>
  </r>
  <r>
    <x v="221"/>
    <x v="8"/>
    <s v="CUST1015"/>
    <x v="2"/>
    <x v="4"/>
    <x v="2"/>
    <n v="4"/>
    <n v="3686"/>
    <n v="14744"/>
    <x v="0"/>
    <x v="13"/>
  </r>
  <r>
    <x v="222"/>
    <x v="168"/>
    <s v="CUST1207"/>
    <x v="2"/>
    <x v="2"/>
    <x v="1"/>
    <n v="5"/>
    <n v="1195"/>
    <n v="5975"/>
    <x v="0"/>
    <x v="6"/>
  </r>
  <r>
    <x v="223"/>
    <x v="14"/>
    <s v="CUST1310"/>
    <x v="1"/>
    <x v="7"/>
    <x v="0"/>
    <n v="8"/>
    <n v="24578"/>
    <n v="196624"/>
    <x v="0"/>
    <x v="9"/>
  </r>
  <r>
    <x v="224"/>
    <x v="36"/>
    <s v="CUST1263"/>
    <x v="3"/>
    <x v="4"/>
    <x v="2"/>
    <n v="6"/>
    <n v="3832"/>
    <n v="22992"/>
    <x v="0"/>
    <x v="12"/>
  </r>
  <r>
    <x v="225"/>
    <x v="169"/>
    <s v="CUST1025"/>
    <x v="3"/>
    <x v="14"/>
    <x v="3"/>
    <n v="2"/>
    <n v="11441"/>
    <n v="22882"/>
    <x v="0"/>
    <x v="6"/>
  </r>
  <r>
    <x v="226"/>
    <x v="170"/>
    <s v="CUST1295"/>
    <x v="2"/>
    <x v="2"/>
    <x v="1"/>
    <n v="4"/>
    <n v="1311"/>
    <n v="5244"/>
    <x v="1"/>
    <x v="2"/>
  </r>
  <r>
    <x v="227"/>
    <x v="171"/>
    <s v="CUST1011"/>
    <x v="3"/>
    <x v="14"/>
    <x v="3"/>
    <n v="9"/>
    <n v="11920"/>
    <n v="107280"/>
    <x v="0"/>
    <x v="0"/>
  </r>
  <r>
    <x v="228"/>
    <x v="172"/>
    <s v="CUST1144"/>
    <x v="2"/>
    <x v="2"/>
    <x v="1"/>
    <n v="4"/>
    <n v="1131"/>
    <n v="4524"/>
    <x v="0"/>
    <x v="13"/>
  </r>
  <r>
    <x v="229"/>
    <x v="173"/>
    <s v="CUST1135"/>
    <x v="0"/>
    <x v="12"/>
    <x v="4"/>
    <n v="9"/>
    <n v="1622"/>
    <n v="14598"/>
    <x v="0"/>
    <x v="2"/>
  </r>
  <r>
    <x v="230"/>
    <x v="135"/>
    <s v="CUST1185"/>
    <x v="1"/>
    <x v="12"/>
    <x v="4"/>
    <n v="1"/>
    <n v="1764"/>
    <n v="1764"/>
    <x v="0"/>
    <x v="12"/>
  </r>
  <r>
    <x v="231"/>
    <x v="103"/>
    <s v="CUST1348"/>
    <x v="3"/>
    <x v="9"/>
    <x v="4"/>
    <n v="8"/>
    <n v="526"/>
    <n v="4208"/>
    <x v="0"/>
    <x v="11"/>
  </r>
  <r>
    <x v="232"/>
    <x v="174"/>
    <s v="CUST1073"/>
    <x v="3"/>
    <x v="15"/>
    <x v="0"/>
    <n v="6"/>
    <n v="8471"/>
    <n v="50826"/>
    <x v="0"/>
    <x v="1"/>
  </r>
  <r>
    <x v="233"/>
    <x v="175"/>
    <s v="CUST1242"/>
    <x v="0"/>
    <x v="9"/>
    <x v="4"/>
    <n v="1"/>
    <n v="454"/>
    <n v="454"/>
    <x v="0"/>
    <x v="12"/>
  </r>
  <r>
    <x v="234"/>
    <x v="176"/>
    <s v="CUST1201"/>
    <x v="1"/>
    <x v="8"/>
    <x v="1"/>
    <n v="3"/>
    <n v="1448"/>
    <n v="4344"/>
    <x v="0"/>
    <x v="11"/>
  </r>
  <r>
    <x v="235"/>
    <x v="177"/>
    <s v="CUST1288"/>
    <x v="0"/>
    <x v="4"/>
    <x v="2"/>
    <n v="6"/>
    <n v="3505"/>
    <n v="21030"/>
    <x v="0"/>
    <x v="6"/>
  </r>
  <r>
    <x v="236"/>
    <x v="11"/>
    <s v="CUST1157"/>
    <x v="1"/>
    <x v="0"/>
    <x v="0"/>
    <n v="6"/>
    <n v="3104"/>
    <n v="18624"/>
    <x v="2"/>
    <x v="10"/>
  </r>
  <r>
    <x v="237"/>
    <x v="137"/>
    <s v="CUST1295"/>
    <x v="2"/>
    <x v="15"/>
    <x v="0"/>
    <n v="5"/>
    <n v="8747"/>
    <n v="43735"/>
    <x v="0"/>
    <x v="1"/>
  </r>
  <r>
    <x v="238"/>
    <x v="67"/>
    <s v="CUST1075"/>
    <x v="0"/>
    <x v="2"/>
    <x v="1"/>
    <n v="3"/>
    <n v="1205"/>
    <n v="3615"/>
    <x v="0"/>
    <x v="5"/>
  </r>
  <r>
    <x v="239"/>
    <x v="178"/>
    <s v="CUST1211"/>
    <x v="0"/>
    <x v="1"/>
    <x v="0"/>
    <n v="4"/>
    <n v="49708"/>
    <n v="198832"/>
    <x v="0"/>
    <x v="2"/>
  </r>
  <r>
    <x v="240"/>
    <x v="141"/>
    <s v="CUST1070"/>
    <x v="3"/>
    <x v="8"/>
    <x v="1"/>
    <n v="8"/>
    <n v="1611"/>
    <n v="12888"/>
    <x v="0"/>
    <x v="12"/>
  </r>
  <r>
    <x v="241"/>
    <x v="179"/>
    <s v="CUST1235"/>
    <x v="3"/>
    <x v="4"/>
    <x v="2"/>
    <n v="8"/>
    <n v="3517"/>
    <n v="28136"/>
    <x v="0"/>
    <x v="3"/>
  </r>
  <r>
    <x v="242"/>
    <x v="142"/>
    <s v="CUST1142"/>
    <x v="1"/>
    <x v="2"/>
    <x v="1"/>
    <n v="5"/>
    <n v="1226"/>
    <n v="6130"/>
    <x v="0"/>
    <x v="12"/>
  </r>
  <r>
    <x v="243"/>
    <x v="180"/>
    <s v="CUST1178"/>
    <x v="3"/>
    <x v="5"/>
    <x v="2"/>
    <n v="4"/>
    <n v="1868"/>
    <n v="7472"/>
    <x v="0"/>
    <x v="12"/>
  </r>
  <r>
    <x v="244"/>
    <x v="181"/>
    <s v="CUST1176"/>
    <x v="2"/>
    <x v="5"/>
    <x v="2"/>
    <n v="2"/>
    <n v="1826"/>
    <n v="3652"/>
    <x v="0"/>
    <x v="10"/>
  </r>
  <r>
    <x v="245"/>
    <x v="182"/>
    <s v="CUST1335"/>
    <x v="2"/>
    <x v="3"/>
    <x v="2"/>
    <n v="5"/>
    <n v="872"/>
    <n v="4360"/>
    <x v="0"/>
    <x v="6"/>
  </r>
  <r>
    <x v="246"/>
    <x v="183"/>
    <s v="CUST1070"/>
    <x v="0"/>
    <x v="13"/>
    <x v="3"/>
    <n v="9"/>
    <n v="6679"/>
    <n v="60111"/>
    <x v="0"/>
    <x v="0"/>
  </r>
  <r>
    <x v="247"/>
    <x v="114"/>
    <s v="CUST1326"/>
    <x v="0"/>
    <x v="11"/>
    <x v="1"/>
    <n v="4"/>
    <n v="2275"/>
    <n v="9100"/>
    <x v="2"/>
    <x v="1"/>
  </r>
  <r>
    <x v="248"/>
    <x v="184"/>
    <s v="CUST1281"/>
    <x v="3"/>
    <x v="12"/>
    <x v="4"/>
    <n v="8"/>
    <n v="1656"/>
    <n v="13248"/>
    <x v="0"/>
    <x v="3"/>
  </r>
  <r>
    <x v="249"/>
    <x v="185"/>
    <s v="CUST1330"/>
    <x v="3"/>
    <x v="12"/>
    <x v="4"/>
    <n v="4"/>
    <n v="1892"/>
    <n v="7568"/>
    <x v="0"/>
    <x v="4"/>
  </r>
  <r>
    <x v="250"/>
    <x v="46"/>
    <s v="CUST1089"/>
    <x v="2"/>
    <x v="7"/>
    <x v="0"/>
    <n v="9"/>
    <n v="26193"/>
    <n v="235737"/>
    <x v="0"/>
    <x v="14"/>
  </r>
  <r>
    <x v="251"/>
    <x v="186"/>
    <s v="CUST1019"/>
    <x v="2"/>
    <x v="13"/>
    <x v="3"/>
    <n v="7"/>
    <n v="7403"/>
    <n v="51821"/>
    <x v="0"/>
    <x v="4"/>
  </r>
  <r>
    <x v="252"/>
    <x v="157"/>
    <s v="CUST1268"/>
    <x v="3"/>
    <x v="11"/>
    <x v="1"/>
    <n v="6"/>
    <n v="2392"/>
    <n v="14352"/>
    <x v="2"/>
    <x v="13"/>
  </r>
  <r>
    <x v="253"/>
    <x v="22"/>
    <s v="CUST1083"/>
    <x v="2"/>
    <x v="6"/>
    <x v="3"/>
    <n v="8"/>
    <n v="8591"/>
    <n v="68728"/>
    <x v="0"/>
    <x v="2"/>
  </r>
  <r>
    <x v="254"/>
    <x v="187"/>
    <s v="CUST1290"/>
    <x v="1"/>
    <x v="4"/>
    <x v="2"/>
    <n v="3"/>
    <n v="3159"/>
    <n v="9477"/>
    <x v="0"/>
    <x v="8"/>
  </r>
  <r>
    <x v="255"/>
    <x v="188"/>
    <s v="CUST1205"/>
    <x v="2"/>
    <x v="6"/>
    <x v="3"/>
    <n v="7"/>
    <n v="9588"/>
    <n v="67116"/>
    <x v="0"/>
    <x v="8"/>
  </r>
  <r>
    <x v="256"/>
    <x v="189"/>
    <s v="CUST1120"/>
    <x v="3"/>
    <x v="14"/>
    <x v="3"/>
    <n v="6"/>
    <n v="13045"/>
    <n v="78270"/>
    <x v="0"/>
    <x v="13"/>
  </r>
  <r>
    <x v="257"/>
    <x v="37"/>
    <s v="CUST1184"/>
    <x v="2"/>
    <x v="5"/>
    <x v="2"/>
    <n v="10"/>
    <n v="1880"/>
    <n v="18800"/>
    <x v="0"/>
    <x v="2"/>
  </r>
  <r>
    <x v="258"/>
    <x v="132"/>
    <s v="CUST1159"/>
    <x v="3"/>
    <x v="15"/>
    <x v="0"/>
    <n v="5"/>
    <n v="7455"/>
    <n v="37275"/>
    <x v="0"/>
    <x v="2"/>
  </r>
  <r>
    <x v="259"/>
    <x v="190"/>
    <s v="CUST1078"/>
    <x v="3"/>
    <x v="5"/>
    <x v="2"/>
    <n v="10"/>
    <n v="1699"/>
    <n v="16990"/>
    <x v="2"/>
    <x v="13"/>
  </r>
  <r>
    <x v="260"/>
    <x v="191"/>
    <s v="CUST1340"/>
    <x v="0"/>
    <x v="2"/>
    <x v="1"/>
    <n v="7"/>
    <n v="1248"/>
    <n v="8736"/>
    <x v="2"/>
    <x v="5"/>
  </r>
  <r>
    <x v="261"/>
    <x v="60"/>
    <s v="CUST1270"/>
    <x v="3"/>
    <x v="6"/>
    <x v="3"/>
    <n v="10"/>
    <n v="9671"/>
    <n v="96710"/>
    <x v="0"/>
    <x v="2"/>
  </r>
  <r>
    <x v="262"/>
    <x v="192"/>
    <s v="CUST1293"/>
    <x v="1"/>
    <x v="11"/>
    <x v="1"/>
    <n v="1"/>
    <n v="2664"/>
    <n v="2664"/>
    <x v="1"/>
    <x v="12"/>
  </r>
  <r>
    <x v="263"/>
    <x v="11"/>
    <s v="CUST1250"/>
    <x v="3"/>
    <x v="4"/>
    <x v="2"/>
    <n v="8"/>
    <n v="3231"/>
    <n v="25848"/>
    <x v="0"/>
    <x v="0"/>
  </r>
  <r>
    <x v="264"/>
    <x v="193"/>
    <s v="CUST1029"/>
    <x v="2"/>
    <x v="10"/>
    <x v="4"/>
    <n v="8"/>
    <n v="1111"/>
    <n v="8888"/>
    <x v="0"/>
    <x v="12"/>
  </r>
  <r>
    <x v="265"/>
    <x v="194"/>
    <s v="CUST1296"/>
    <x v="1"/>
    <x v="4"/>
    <x v="2"/>
    <n v="1"/>
    <n v="3427"/>
    <n v="3427"/>
    <x v="1"/>
    <x v="0"/>
  </r>
  <r>
    <x v="266"/>
    <x v="99"/>
    <s v="CUST1241"/>
    <x v="3"/>
    <x v="4"/>
    <x v="2"/>
    <n v="2"/>
    <n v="3528"/>
    <n v="7056"/>
    <x v="0"/>
    <x v="4"/>
  </r>
  <r>
    <x v="267"/>
    <x v="195"/>
    <s v="CUST1193"/>
    <x v="3"/>
    <x v="13"/>
    <x v="3"/>
    <n v="7"/>
    <n v="6824"/>
    <n v="47768"/>
    <x v="0"/>
    <x v="14"/>
  </r>
  <r>
    <x v="268"/>
    <x v="196"/>
    <s v="CUST1270"/>
    <x v="3"/>
    <x v="11"/>
    <x v="1"/>
    <n v="6"/>
    <n v="2309"/>
    <n v="13854"/>
    <x v="2"/>
    <x v="9"/>
  </r>
  <r>
    <x v="269"/>
    <x v="157"/>
    <s v="CUST1217"/>
    <x v="0"/>
    <x v="13"/>
    <x v="3"/>
    <n v="1"/>
    <n v="7669"/>
    <n v="7669"/>
    <x v="0"/>
    <x v="12"/>
  </r>
  <r>
    <x v="270"/>
    <x v="197"/>
    <s v="CUST1016"/>
    <x v="1"/>
    <x v="13"/>
    <x v="3"/>
    <n v="8"/>
    <n v="6784"/>
    <n v="54272"/>
    <x v="0"/>
    <x v="10"/>
  </r>
  <r>
    <x v="271"/>
    <x v="198"/>
    <s v="CUST1228"/>
    <x v="0"/>
    <x v="11"/>
    <x v="1"/>
    <n v="4"/>
    <n v="2353"/>
    <n v="9412"/>
    <x v="0"/>
    <x v="11"/>
  </r>
  <r>
    <x v="272"/>
    <x v="194"/>
    <s v="CUST1028"/>
    <x v="0"/>
    <x v="7"/>
    <x v="0"/>
    <n v="1"/>
    <n v="24511"/>
    <n v="24511"/>
    <x v="0"/>
    <x v="9"/>
  </r>
  <r>
    <x v="273"/>
    <x v="55"/>
    <s v="CUST1164"/>
    <x v="1"/>
    <x v="3"/>
    <x v="2"/>
    <n v="10"/>
    <n v="771"/>
    <n v="7710"/>
    <x v="0"/>
    <x v="1"/>
  </r>
  <r>
    <x v="274"/>
    <x v="141"/>
    <s v="CUST1285"/>
    <x v="3"/>
    <x v="6"/>
    <x v="3"/>
    <n v="9"/>
    <n v="8497"/>
    <n v="76473"/>
    <x v="0"/>
    <x v="11"/>
  </r>
  <r>
    <x v="275"/>
    <x v="81"/>
    <s v="CUST1329"/>
    <x v="2"/>
    <x v="6"/>
    <x v="3"/>
    <n v="7"/>
    <n v="9100"/>
    <n v="63700"/>
    <x v="0"/>
    <x v="8"/>
  </r>
  <r>
    <x v="276"/>
    <x v="199"/>
    <s v="CUST1275"/>
    <x v="1"/>
    <x v="2"/>
    <x v="1"/>
    <n v="7"/>
    <n v="1177"/>
    <n v="8239"/>
    <x v="0"/>
    <x v="13"/>
  </r>
  <r>
    <x v="277"/>
    <x v="200"/>
    <s v="CUST1211"/>
    <x v="3"/>
    <x v="14"/>
    <x v="3"/>
    <n v="3"/>
    <n v="12733"/>
    <n v="38199"/>
    <x v="1"/>
    <x v="14"/>
  </r>
  <r>
    <x v="278"/>
    <x v="201"/>
    <s v="CUST1230"/>
    <x v="0"/>
    <x v="14"/>
    <x v="3"/>
    <n v="4"/>
    <n v="11411"/>
    <n v="45644"/>
    <x v="0"/>
    <x v="5"/>
  </r>
  <r>
    <x v="279"/>
    <x v="122"/>
    <s v="CUST1308"/>
    <x v="1"/>
    <x v="8"/>
    <x v="1"/>
    <n v="4"/>
    <n v="1365"/>
    <n v="5460"/>
    <x v="0"/>
    <x v="4"/>
  </r>
  <r>
    <x v="280"/>
    <x v="175"/>
    <s v="CUST1155"/>
    <x v="2"/>
    <x v="6"/>
    <x v="3"/>
    <n v="9"/>
    <n v="8490"/>
    <n v="76410"/>
    <x v="0"/>
    <x v="3"/>
  </r>
  <r>
    <x v="281"/>
    <x v="202"/>
    <s v="CUST1309"/>
    <x v="3"/>
    <x v="6"/>
    <x v="3"/>
    <n v="2"/>
    <n v="9444"/>
    <n v="18888"/>
    <x v="0"/>
    <x v="2"/>
  </r>
  <r>
    <x v="282"/>
    <x v="203"/>
    <s v="CUST1332"/>
    <x v="3"/>
    <x v="6"/>
    <x v="3"/>
    <n v="6"/>
    <n v="9495"/>
    <n v="56970"/>
    <x v="0"/>
    <x v="7"/>
  </r>
  <r>
    <x v="283"/>
    <x v="89"/>
    <s v="CUST1163"/>
    <x v="3"/>
    <x v="4"/>
    <x v="2"/>
    <n v="8"/>
    <n v="3476"/>
    <n v="27808"/>
    <x v="0"/>
    <x v="3"/>
  </r>
  <r>
    <x v="284"/>
    <x v="204"/>
    <s v="CUST1008"/>
    <x v="3"/>
    <x v="5"/>
    <x v="2"/>
    <n v="1"/>
    <n v="1822"/>
    <n v="1822"/>
    <x v="0"/>
    <x v="6"/>
  </r>
  <r>
    <x v="285"/>
    <x v="205"/>
    <s v="CUST1194"/>
    <x v="0"/>
    <x v="8"/>
    <x v="1"/>
    <n v="7"/>
    <n v="1438"/>
    <n v="10066"/>
    <x v="0"/>
    <x v="11"/>
  </r>
  <r>
    <x v="286"/>
    <x v="48"/>
    <s v="CUST1251"/>
    <x v="2"/>
    <x v="9"/>
    <x v="4"/>
    <n v="6"/>
    <n v="475"/>
    <n v="2850"/>
    <x v="0"/>
    <x v="13"/>
  </r>
  <r>
    <x v="287"/>
    <x v="30"/>
    <s v="CUST1328"/>
    <x v="3"/>
    <x v="3"/>
    <x v="2"/>
    <n v="3"/>
    <n v="835"/>
    <n v="2505"/>
    <x v="0"/>
    <x v="4"/>
  </r>
  <r>
    <x v="288"/>
    <x v="206"/>
    <s v="CUST1034"/>
    <x v="1"/>
    <x v="1"/>
    <x v="0"/>
    <n v="1"/>
    <n v="54036"/>
    <n v="54036"/>
    <x v="1"/>
    <x v="2"/>
  </r>
  <r>
    <x v="289"/>
    <x v="207"/>
    <s v="CUST1315"/>
    <x v="3"/>
    <x v="6"/>
    <x v="3"/>
    <n v="8"/>
    <n v="8771"/>
    <n v="70168"/>
    <x v="0"/>
    <x v="3"/>
  </r>
  <r>
    <x v="290"/>
    <x v="80"/>
    <s v="CUST1271"/>
    <x v="1"/>
    <x v="10"/>
    <x v="4"/>
    <n v="1"/>
    <n v="1207"/>
    <n v="1207"/>
    <x v="0"/>
    <x v="2"/>
  </r>
  <r>
    <x v="291"/>
    <x v="49"/>
    <s v="CUST1054"/>
    <x v="3"/>
    <x v="3"/>
    <x v="2"/>
    <n v="9"/>
    <n v="850"/>
    <n v="7650"/>
    <x v="0"/>
    <x v="3"/>
  </r>
  <r>
    <x v="292"/>
    <x v="24"/>
    <s v="CUST1136"/>
    <x v="3"/>
    <x v="13"/>
    <x v="3"/>
    <n v="4"/>
    <n v="7167"/>
    <n v="28668"/>
    <x v="0"/>
    <x v="10"/>
  </r>
  <r>
    <x v="293"/>
    <x v="114"/>
    <s v="CUST1153"/>
    <x v="1"/>
    <x v="5"/>
    <x v="2"/>
    <n v="8"/>
    <n v="1823"/>
    <n v="14584"/>
    <x v="2"/>
    <x v="8"/>
  </r>
  <r>
    <x v="294"/>
    <x v="119"/>
    <s v="CUST1028"/>
    <x v="2"/>
    <x v="1"/>
    <x v="0"/>
    <n v="2"/>
    <n v="53958"/>
    <n v="107916"/>
    <x v="0"/>
    <x v="8"/>
  </r>
  <r>
    <x v="295"/>
    <x v="22"/>
    <s v="CUST1289"/>
    <x v="3"/>
    <x v="13"/>
    <x v="3"/>
    <n v="8"/>
    <n v="7483"/>
    <n v="59864"/>
    <x v="0"/>
    <x v="5"/>
  </r>
  <r>
    <x v="296"/>
    <x v="208"/>
    <s v="CUST1243"/>
    <x v="2"/>
    <x v="11"/>
    <x v="1"/>
    <n v="4"/>
    <n v="2355"/>
    <n v="9420"/>
    <x v="0"/>
    <x v="6"/>
  </r>
  <r>
    <x v="297"/>
    <x v="33"/>
    <s v="CUST1008"/>
    <x v="3"/>
    <x v="0"/>
    <x v="0"/>
    <n v="9"/>
    <n v="3038"/>
    <n v="27342"/>
    <x v="0"/>
    <x v="1"/>
  </r>
  <r>
    <x v="298"/>
    <x v="63"/>
    <s v="CUST1346"/>
    <x v="0"/>
    <x v="10"/>
    <x v="4"/>
    <n v="5"/>
    <n v="1118"/>
    <n v="5590"/>
    <x v="0"/>
    <x v="3"/>
  </r>
  <r>
    <x v="299"/>
    <x v="201"/>
    <s v="CUST1256"/>
    <x v="1"/>
    <x v="9"/>
    <x v="4"/>
    <n v="3"/>
    <n v="529"/>
    <n v="1587"/>
    <x v="0"/>
    <x v="2"/>
  </r>
  <r>
    <x v="300"/>
    <x v="122"/>
    <s v="CUST1314"/>
    <x v="2"/>
    <x v="1"/>
    <x v="0"/>
    <n v="7"/>
    <n v="52053"/>
    <n v="364371"/>
    <x v="0"/>
    <x v="11"/>
  </r>
  <r>
    <x v="301"/>
    <x v="209"/>
    <s v="CUST1182"/>
    <x v="1"/>
    <x v="3"/>
    <x v="2"/>
    <n v="5"/>
    <n v="845"/>
    <n v="4225"/>
    <x v="0"/>
    <x v="12"/>
  </r>
  <r>
    <x v="302"/>
    <x v="210"/>
    <s v="CUST1151"/>
    <x v="2"/>
    <x v="10"/>
    <x v="4"/>
    <n v="10"/>
    <n v="1238"/>
    <n v="12380"/>
    <x v="0"/>
    <x v="10"/>
  </r>
  <r>
    <x v="303"/>
    <x v="211"/>
    <s v="CUST1078"/>
    <x v="3"/>
    <x v="1"/>
    <x v="0"/>
    <n v="5"/>
    <n v="51196"/>
    <n v="255980"/>
    <x v="0"/>
    <x v="2"/>
  </r>
  <r>
    <x v="304"/>
    <x v="212"/>
    <s v="CUST1138"/>
    <x v="1"/>
    <x v="3"/>
    <x v="2"/>
    <n v="2"/>
    <n v="720"/>
    <n v="1440"/>
    <x v="0"/>
    <x v="0"/>
  </r>
  <r>
    <x v="305"/>
    <x v="213"/>
    <s v="CUST1013"/>
    <x v="3"/>
    <x v="14"/>
    <x v="3"/>
    <n v="8"/>
    <n v="12136"/>
    <n v="97088"/>
    <x v="0"/>
    <x v="0"/>
  </r>
  <r>
    <x v="306"/>
    <x v="214"/>
    <s v="CUST1286"/>
    <x v="1"/>
    <x v="0"/>
    <x v="0"/>
    <n v="7"/>
    <n v="2707"/>
    <n v="18949"/>
    <x v="0"/>
    <x v="3"/>
  </r>
  <r>
    <x v="307"/>
    <x v="152"/>
    <s v="CUST1137"/>
    <x v="2"/>
    <x v="6"/>
    <x v="3"/>
    <n v="9"/>
    <n v="8405"/>
    <n v="75645"/>
    <x v="0"/>
    <x v="6"/>
  </r>
  <r>
    <x v="308"/>
    <x v="215"/>
    <s v="CUST1039"/>
    <x v="3"/>
    <x v="13"/>
    <x v="3"/>
    <n v="3"/>
    <n v="6908"/>
    <n v="20724"/>
    <x v="0"/>
    <x v="7"/>
  </r>
  <r>
    <x v="309"/>
    <x v="216"/>
    <s v="CUST1069"/>
    <x v="3"/>
    <x v="6"/>
    <x v="3"/>
    <n v="8"/>
    <n v="9168"/>
    <n v="73344"/>
    <x v="0"/>
    <x v="6"/>
  </r>
  <r>
    <x v="310"/>
    <x v="217"/>
    <s v="CUST1171"/>
    <x v="3"/>
    <x v="12"/>
    <x v="4"/>
    <n v="10"/>
    <n v="1756"/>
    <n v="17560"/>
    <x v="0"/>
    <x v="14"/>
  </r>
  <r>
    <x v="311"/>
    <x v="112"/>
    <s v="CUST1245"/>
    <x v="2"/>
    <x v="11"/>
    <x v="1"/>
    <n v="5"/>
    <n v="2410"/>
    <n v="12050"/>
    <x v="1"/>
    <x v="7"/>
  </r>
  <r>
    <x v="312"/>
    <x v="93"/>
    <s v="CUST1124"/>
    <x v="3"/>
    <x v="12"/>
    <x v="4"/>
    <n v="5"/>
    <n v="1884"/>
    <n v="9420"/>
    <x v="0"/>
    <x v="7"/>
  </r>
  <r>
    <x v="313"/>
    <x v="218"/>
    <s v="CUST1092"/>
    <x v="1"/>
    <x v="12"/>
    <x v="4"/>
    <n v="2"/>
    <n v="1955"/>
    <n v="3910"/>
    <x v="0"/>
    <x v="8"/>
  </r>
  <r>
    <x v="314"/>
    <x v="219"/>
    <s v="CUST1035"/>
    <x v="2"/>
    <x v="15"/>
    <x v="0"/>
    <n v="4"/>
    <n v="7901"/>
    <n v="31604"/>
    <x v="0"/>
    <x v="5"/>
  </r>
  <r>
    <x v="315"/>
    <x v="220"/>
    <s v="CUST1337"/>
    <x v="2"/>
    <x v="9"/>
    <x v="4"/>
    <n v="8"/>
    <n v="463"/>
    <n v="3704"/>
    <x v="0"/>
    <x v="9"/>
  </r>
  <r>
    <x v="316"/>
    <x v="28"/>
    <s v="CUST1273"/>
    <x v="0"/>
    <x v="10"/>
    <x v="4"/>
    <n v="8"/>
    <n v="1317"/>
    <n v="10536"/>
    <x v="0"/>
    <x v="12"/>
  </r>
  <r>
    <x v="317"/>
    <x v="4"/>
    <s v="CUST1304"/>
    <x v="2"/>
    <x v="9"/>
    <x v="4"/>
    <n v="1"/>
    <n v="529"/>
    <n v="529"/>
    <x v="0"/>
    <x v="8"/>
  </r>
  <r>
    <x v="318"/>
    <x v="193"/>
    <s v="CUST1330"/>
    <x v="2"/>
    <x v="7"/>
    <x v="0"/>
    <n v="6"/>
    <n v="23331"/>
    <n v="139986"/>
    <x v="0"/>
    <x v="8"/>
  </r>
  <r>
    <x v="319"/>
    <x v="221"/>
    <s v="CUST1265"/>
    <x v="0"/>
    <x v="5"/>
    <x v="2"/>
    <n v="2"/>
    <n v="1623"/>
    <n v="3246"/>
    <x v="0"/>
    <x v="12"/>
  </r>
  <r>
    <x v="320"/>
    <x v="160"/>
    <s v="CUST1301"/>
    <x v="0"/>
    <x v="11"/>
    <x v="1"/>
    <n v="8"/>
    <n v="2437"/>
    <n v="19496"/>
    <x v="0"/>
    <x v="2"/>
  </r>
  <r>
    <x v="321"/>
    <x v="214"/>
    <s v="CUST1059"/>
    <x v="1"/>
    <x v="3"/>
    <x v="2"/>
    <n v="8"/>
    <n v="736"/>
    <n v="5888"/>
    <x v="0"/>
    <x v="5"/>
  </r>
  <r>
    <x v="322"/>
    <x v="51"/>
    <s v="CUST1247"/>
    <x v="2"/>
    <x v="14"/>
    <x v="3"/>
    <n v="5"/>
    <n v="11623"/>
    <n v="58115"/>
    <x v="0"/>
    <x v="7"/>
  </r>
  <r>
    <x v="323"/>
    <x v="166"/>
    <s v="CUST1058"/>
    <x v="1"/>
    <x v="9"/>
    <x v="4"/>
    <n v="8"/>
    <n v="481"/>
    <n v="3848"/>
    <x v="0"/>
    <x v="4"/>
  </r>
  <r>
    <x v="324"/>
    <x v="22"/>
    <s v="CUST1286"/>
    <x v="2"/>
    <x v="7"/>
    <x v="0"/>
    <n v="4"/>
    <n v="25079"/>
    <n v="100316"/>
    <x v="0"/>
    <x v="14"/>
  </r>
  <r>
    <x v="325"/>
    <x v="181"/>
    <s v="CUST1014"/>
    <x v="2"/>
    <x v="14"/>
    <x v="3"/>
    <n v="3"/>
    <n v="11247"/>
    <n v="33741"/>
    <x v="0"/>
    <x v="2"/>
  </r>
  <r>
    <x v="326"/>
    <x v="222"/>
    <s v="CUST1105"/>
    <x v="0"/>
    <x v="14"/>
    <x v="3"/>
    <n v="10"/>
    <n v="11830"/>
    <n v="118300"/>
    <x v="0"/>
    <x v="6"/>
  </r>
  <r>
    <x v="327"/>
    <x v="10"/>
    <s v="CUST1058"/>
    <x v="2"/>
    <x v="1"/>
    <x v="0"/>
    <n v="9"/>
    <n v="51556"/>
    <n v="464004"/>
    <x v="0"/>
    <x v="6"/>
  </r>
  <r>
    <x v="328"/>
    <x v="223"/>
    <s v="CUST1058"/>
    <x v="0"/>
    <x v="9"/>
    <x v="4"/>
    <n v="6"/>
    <n v="509"/>
    <n v="3054"/>
    <x v="0"/>
    <x v="7"/>
  </r>
  <r>
    <x v="329"/>
    <x v="100"/>
    <s v="CUST1314"/>
    <x v="1"/>
    <x v="9"/>
    <x v="4"/>
    <n v="3"/>
    <n v="531"/>
    <n v="1593"/>
    <x v="0"/>
    <x v="11"/>
  </r>
  <r>
    <x v="330"/>
    <x v="20"/>
    <s v="CUST1072"/>
    <x v="3"/>
    <x v="14"/>
    <x v="3"/>
    <n v="2"/>
    <n v="11372"/>
    <n v="22744"/>
    <x v="0"/>
    <x v="12"/>
  </r>
  <r>
    <x v="331"/>
    <x v="110"/>
    <s v="CUST1275"/>
    <x v="1"/>
    <x v="11"/>
    <x v="1"/>
    <n v="10"/>
    <n v="2441"/>
    <n v="24410"/>
    <x v="0"/>
    <x v="2"/>
  </r>
  <r>
    <x v="332"/>
    <x v="33"/>
    <s v="CUST1230"/>
    <x v="2"/>
    <x v="6"/>
    <x v="3"/>
    <n v="3"/>
    <n v="8981"/>
    <n v="26943"/>
    <x v="0"/>
    <x v="11"/>
  </r>
  <r>
    <x v="333"/>
    <x v="200"/>
    <s v="CUST1258"/>
    <x v="3"/>
    <x v="3"/>
    <x v="2"/>
    <n v="8"/>
    <n v="741"/>
    <n v="5928"/>
    <x v="0"/>
    <x v="8"/>
  </r>
  <r>
    <x v="334"/>
    <x v="128"/>
    <s v="CUST1112"/>
    <x v="1"/>
    <x v="12"/>
    <x v="4"/>
    <n v="8"/>
    <n v="1795"/>
    <n v="14360"/>
    <x v="0"/>
    <x v="6"/>
  </r>
  <r>
    <x v="335"/>
    <x v="224"/>
    <s v="CUST1281"/>
    <x v="3"/>
    <x v="6"/>
    <x v="3"/>
    <n v="5"/>
    <n v="8402"/>
    <n v="42010"/>
    <x v="0"/>
    <x v="12"/>
  </r>
  <r>
    <x v="336"/>
    <x v="140"/>
    <s v="CUST1225"/>
    <x v="3"/>
    <x v="0"/>
    <x v="0"/>
    <n v="9"/>
    <n v="3193"/>
    <n v="28737"/>
    <x v="0"/>
    <x v="12"/>
  </r>
  <r>
    <x v="337"/>
    <x v="149"/>
    <s v="CUST1134"/>
    <x v="3"/>
    <x v="10"/>
    <x v="4"/>
    <n v="4"/>
    <n v="1151"/>
    <n v="4604"/>
    <x v="2"/>
    <x v="7"/>
  </r>
  <r>
    <x v="338"/>
    <x v="87"/>
    <s v="CUST1179"/>
    <x v="2"/>
    <x v="15"/>
    <x v="0"/>
    <n v="2"/>
    <n v="8441"/>
    <n v="16882"/>
    <x v="0"/>
    <x v="5"/>
  </r>
  <r>
    <x v="339"/>
    <x v="225"/>
    <s v="CUST1030"/>
    <x v="0"/>
    <x v="10"/>
    <x v="4"/>
    <n v="10"/>
    <n v="1113"/>
    <n v="11130"/>
    <x v="0"/>
    <x v="11"/>
  </r>
  <r>
    <x v="340"/>
    <x v="226"/>
    <s v="CUST1148"/>
    <x v="1"/>
    <x v="4"/>
    <x v="2"/>
    <n v="9"/>
    <n v="3267"/>
    <n v="29403"/>
    <x v="2"/>
    <x v="11"/>
  </r>
  <r>
    <x v="341"/>
    <x v="45"/>
    <s v="CUST1030"/>
    <x v="3"/>
    <x v="8"/>
    <x v="1"/>
    <n v="2"/>
    <n v="1390"/>
    <n v="2780"/>
    <x v="0"/>
    <x v="6"/>
  </r>
  <r>
    <x v="342"/>
    <x v="142"/>
    <s v="CUST1346"/>
    <x v="2"/>
    <x v="6"/>
    <x v="3"/>
    <n v="3"/>
    <n v="8549"/>
    <n v="25647"/>
    <x v="0"/>
    <x v="14"/>
  </r>
  <r>
    <x v="343"/>
    <x v="26"/>
    <s v="CUST1324"/>
    <x v="1"/>
    <x v="8"/>
    <x v="1"/>
    <n v="5"/>
    <n v="1538"/>
    <n v="7690"/>
    <x v="0"/>
    <x v="10"/>
  </r>
  <r>
    <x v="344"/>
    <x v="227"/>
    <s v="CUST1232"/>
    <x v="2"/>
    <x v="15"/>
    <x v="0"/>
    <n v="9"/>
    <n v="8399"/>
    <n v="75591"/>
    <x v="0"/>
    <x v="13"/>
  </r>
  <r>
    <x v="345"/>
    <x v="115"/>
    <s v="CUST1273"/>
    <x v="3"/>
    <x v="1"/>
    <x v="0"/>
    <n v="8"/>
    <n v="56483"/>
    <n v="451864"/>
    <x v="0"/>
    <x v="14"/>
  </r>
  <r>
    <x v="346"/>
    <x v="228"/>
    <s v="CUST1280"/>
    <x v="3"/>
    <x v="10"/>
    <x v="4"/>
    <n v="8"/>
    <n v="1144"/>
    <n v="9152"/>
    <x v="0"/>
    <x v="11"/>
  </r>
  <r>
    <x v="347"/>
    <x v="229"/>
    <s v="CUST1008"/>
    <x v="3"/>
    <x v="12"/>
    <x v="4"/>
    <n v="1"/>
    <n v="1636"/>
    <n v="1636"/>
    <x v="0"/>
    <x v="0"/>
  </r>
  <r>
    <x v="348"/>
    <x v="192"/>
    <s v="CUST1067"/>
    <x v="2"/>
    <x v="14"/>
    <x v="3"/>
    <n v="8"/>
    <n v="10801"/>
    <n v="86408"/>
    <x v="2"/>
    <x v="3"/>
  </r>
  <r>
    <x v="349"/>
    <x v="230"/>
    <s v="CUST1340"/>
    <x v="0"/>
    <x v="14"/>
    <x v="3"/>
    <n v="2"/>
    <n v="12371"/>
    <n v="24742"/>
    <x v="0"/>
    <x v="3"/>
  </r>
  <r>
    <x v="350"/>
    <x v="231"/>
    <s v="CUST1335"/>
    <x v="0"/>
    <x v="15"/>
    <x v="0"/>
    <n v="5"/>
    <n v="8361"/>
    <n v="41805"/>
    <x v="0"/>
    <x v="0"/>
  </r>
  <r>
    <x v="351"/>
    <x v="58"/>
    <s v="CUST1348"/>
    <x v="0"/>
    <x v="7"/>
    <x v="0"/>
    <n v="8"/>
    <n v="22889"/>
    <n v="183112"/>
    <x v="0"/>
    <x v="13"/>
  </r>
  <r>
    <x v="352"/>
    <x v="205"/>
    <s v="CUST1196"/>
    <x v="3"/>
    <x v="3"/>
    <x v="2"/>
    <n v="7"/>
    <n v="831"/>
    <n v="5817"/>
    <x v="0"/>
    <x v="0"/>
  </r>
  <r>
    <x v="353"/>
    <x v="232"/>
    <s v="CUST1068"/>
    <x v="0"/>
    <x v="1"/>
    <x v="0"/>
    <n v="6"/>
    <n v="53543"/>
    <n v="321258"/>
    <x v="0"/>
    <x v="8"/>
  </r>
  <r>
    <x v="354"/>
    <x v="233"/>
    <s v="CUST1225"/>
    <x v="2"/>
    <x v="13"/>
    <x v="3"/>
    <n v="9"/>
    <n v="7088"/>
    <n v="63792"/>
    <x v="0"/>
    <x v="7"/>
  </r>
  <r>
    <x v="355"/>
    <x v="188"/>
    <s v="CUST1051"/>
    <x v="0"/>
    <x v="14"/>
    <x v="3"/>
    <n v="10"/>
    <n v="12447"/>
    <n v="124470"/>
    <x v="1"/>
    <x v="9"/>
  </r>
  <r>
    <x v="356"/>
    <x v="152"/>
    <s v="CUST1126"/>
    <x v="2"/>
    <x v="8"/>
    <x v="1"/>
    <n v="7"/>
    <n v="1455"/>
    <n v="10185"/>
    <x v="0"/>
    <x v="6"/>
  </r>
  <r>
    <x v="357"/>
    <x v="234"/>
    <s v="CUST1013"/>
    <x v="0"/>
    <x v="6"/>
    <x v="3"/>
    <n v="10"/>
    <n v="9180"/>
    <n v="91800"/>
    <x v="0"/>
    <x v="5"/>
  </r>
  <r>
    <x v="358"/>
    <x v="235"/>
    <s v="CUST1151"/>
    <x v="2"/>
    <x v="3"/>
    <x v="2"/>
    <n v="9"/>
    <n v="817"/>
    <n v="7353"/>
    <x v="0"/>
    <x v="8"/>
  </r>
  <r>
    <x v="359"/>
    <x v="236"/>
    <s v="CUST1036"/>
    <x v="3"/>
    <x v="14"/>
    <x v="3"/>
    <n v="7"/>
    <n v="11070"/>
    <n v="77490"/>
    <x v="0"/>
    <x v="12"/>
  </r>
  <r>
    <x v="360"/>
    <x v="32"/>
    <s v="CUST1215"/>
    <x v="2"/>
    <x v="0"/>
    <x v="0"/>
    <n v="6"/>
    <n v="2779"/>
    <n v="16674"/>
    <x v="0"/>
    <x v="7"/>
  </r>
  <r>
    <x v="361"/>
    <x v="161"/>
    <s v="CUST1110"/>
    <x v="1"/>
    <x v="14"/>
    <x v="3"/>
    <n v="2"/>
    <n v="10840"/>
    <n v="21680"/>
    <x v="0"/>
    <x v="4"/>
  </r>
  <r>
    <x v="362"/>
    <x v="150"/>
    <s v="CUST1216"/>
    <x v="2"/>
    <x v="9"/>
    <x v="4"/>
    <n v="5"/>
    <n v="512"/>
    <n v="2560"/>
    <x v="0"/>
    <x v="2"/>
  </r>
  <r>
    <x v="363"/>
    <x v="201"/>
    <s v="CUST1261"/>
    <x v="1"/>
    <x v="8"/>
    <x v="1"/>
    <n v="10"/>
    <n v="1395"/>
    <n v="13950"/>
    <x v="0"/>
    <x v="3"/>
  </r>
  <r>
    <x v="364"/>
    <x v="237"/>
    <s v="CUST1348"/>
    <x v="3"/>
    <x v="6"/>
    <x v="3"/>
    <n v="6"/>
    <n v="8803"/>
    <n v="52818"/>
    <x v="0"/>
    <x v="8"/>
  </r>
  <r>
    <x v="365"/>
    <x v="105"/>
    <s v="CUST1059"/>
    <x v="3"/>
    <x v="9"/>
    <x v="4"/>
    <n v="4"/>
    <n v="455"/>
    <n v="1820"/>
    <x v="0"/>
    <x v="13"/>
  </r>
  <r>
    <x v="366"/>
    <x v="238"/>
    <s v="CUST1005"/>
    <x v="0"/>
    <x v="0"/>
    <x v="0"/>
    <n v="3"/>
    <n v="2771"/>
    <n v="8313"/>
    <x v="0"/>
    <x v="9"/>
  </r>
  <r>
    <x v="367"/>
    <x v="70"/>
    <s v="CUST1190"/>
    <x v="1"/>
    <x v="4"/>
    <x v="2"/>
    <n v="9"/>
    <n v="3698"/>
    <n v="33282"/>
    <x v="1"/>
    <x v="9"/>
  </r>
  <r>
    <x v="368"/>
    <x v="231"/>
    <s v="CUST1139"/>
    <x v="0"/>
    <x v="4"/>
    <x v="2"/>
    <n v="2"/>
    <n v="3690"/>
    <n v="7380"/>
    <x v="0"/>
    <x v="12"/>
  </r>
  <r>
    <x v="369"/>
    <x v="239"/>
    <s v="CUST1255"/>
    <x v="3"/>
    <x v="8"/>
    <x v="1"/>
    <n v="2"/>
    <n v="1498"/>
    <n v="2996"/>
    <x v="0"/>
    <x v="5"/>
  </r>
  <r>
    <x v="370"/>
    <x v="240"/>
    <s v="CUST1059"/>
    <x v="0"/>
    <x v="3"/>
    <x v="2"/>
    <n v="5"/>
    <n v="843"/>
    <n v="4215"/>
    <x v="2"/>
    <x v="1"/>
  </r>
  <r>
    <x v="371"/>
    <x v="189"/>
    <s v="CUST1076"/>
    <x v="0"/>
    <x v="1"/>
    <x v="0"/>
    <n v="1"/>
    <n v="52190"/>
    <n v="52190"/>
    <x v="0"/>
    <x v="9"/>
  </r>
  <r>
    <x v="372"/>
    <x v="241"/>
    <s v="CUST1138"/>
    <x v="2"/>
    <x v="15"/>
    <x v="0"/>
    <n v="4"/>
    <n v="7714"/>
    <n v="30856"/>
    <x v="0"/>
    <x v="5"/>
  </r>
  <r>
    <x v="373"/>
    <x v="47"/>
    <s v="CUST1264"/>
    <x v="3"/>
    <x v="3"/>
    <x v="2"/>
    <n v="9"/>
    <n v="827"/>
    <n v="7443"/>
    <x v="0"/>
    <x v="4"/>
  </r>
  <r>
    <x v="374"/>
    <x v="188"/>
    <s v="CUST1283"/>
    <x v="2"/>
    <x v="15"/>
    <x v="0"/>
    <n v="5"/>
    <n v="8437"/>
    <n v="42185"/>
    <x v="0"/>
    <x v="13"/>
  </r>
  <r>
    <x v="375"/>
    <x v="202"/>
    <s v="CUST1237"/>
    <x v="3"/>
    <x v="14"/>
    <x v="3"/>
    <n v="10"/>
    <n v="12682"/>
    <n v="126820"/>
    <x v="0"/>
    <x v="7"/>
  </r>
  <r>
    <x v="376"/>
    <x v="2"/>
    <s v="CUST1209"/>
    <x v="0"/>
    <x v="10"/>
    <x v="4"/>
    <n v="9"/>
    <n v="1262"/>
    <n v="11358"/>
    <x v="0"/>
    <x v="4"/>
  </r>
  <r>
    <x v="377"/>
    <x v="242"/>
    <s v="CUST1192"/>
    <x v="3"/>
    <x v="4"/>
    <x v="2"/>
    <n v="1"/>
    <n v="3815"/>
    <n v="3815"/>
    <x v="0"/>
    <x v="5"/>
  </r>
  <r>
    <x v="378"/>
    <x v="243"/>
    <s v="CUST1030"/>
    <x v="0"/>
    <x v="3"/>
    <x v="2"/>
    <n v="4"/>
    <n v="804"/>
    <n v="3216"/>
    <x v="0"/>
    <x v="9"/>
  </r>
  <r>
    <x v="379"/>
    <x v="244"/>
    <s v="CUST1190"/>
    <x v="0"/>
    <x v="1"/>
    <x v="0"/>
    <n v="4"/>
    <n v="59370"/>
    <n v="237480"/>
    <x v="0"/>
    <x v="13"/>
  </r>
  <r>
    <x v="380"/>
    <x v="26"/>
    <s v="CUST1303"/>
    <x v="2"/>
    <x v="1"/>
    <x v="0"/>
    <n v="9"/>
    <n v="50968"/>
    <n v="458712"/>
    <x v="0"/>
    <x v="11"/>
  </r>
  <r>
    <x v="381"/>
    <x v="196"/>
    <s v="CUST1167"/>
    <x v="3"/>
    <x v="13"/>
    <x v="3"/>
    <n v="5"/>
    <n v="6665"/>
    <n v="33325"/>
    <x v="0"/>
    <x v="7"/>
  </r>
  <r>
    <x v="382"/>
    <x v="25"/>
    <s v="CUST1079"/>
    <x v="1"/>
    <x v="13"/>
    <x v="3"/>
    <n v="4"/>
    <n v="6490"/>
    <n v="25960"/>
    <x v="1"/>
    <x v="0"/>
  </r>
  <r>
    <x v="383"/>
    <x v="245"/>
    <s v="CUST1231"/>
    <x v="3"/>
    <x v="12"/>
    <x v="4"/>
    <n v="7"/>
    <n v="1663"/>
    <n v="11641"/>
    <x v="0"/>
    <x v="6"/>
  </r>
  <r>
    <x v="384"/>
    <x v="132"/>
    <s v="CUST1308"/>
    <x v="1"/>
    <x v="1"/>
    <x v="0"/>
    <n v="3"/>
    <n v="58383"/>
    <n v="175149"/>
    <x v="0"/>
    <x v="4"/>
  </r>
  <r>
    <x v="385"/>
    <x v="181"/>
    <s v="CUST1262"/>
    <x v="3"/>
    <x v="3"/>
    <x v="2"/>
    <n v="2"/>
    <n v="833"/>
    <n v="1666"/>
    <x v="2"/>
    <x v="4"/>
  </r>
  <r>
    <x v="386"/>
    <x v="29"/>
    <s v="CUST1281"/>
    <x v="0"/>
    <x v="3"/>
    <x v="2"/>
    <n v="1"/>
    <n v="872"/>
    <n v="872"/>
    <x v="1"/>
    <x v="1"/>
  </r>
  <r>
    <x v="387"/>
    <x v="246"/>
    <s v="CUST1066"/>
    <x v="3"/>
    <x v="7"/>
    <x v="0"/>
    <n v="2"/>
    <n v="22559"/>
    <n v="45118"/>
    <x v="0"/>
    <x v="1"/>
  </r>
  <r>
    <x v="388"/>
    <x v="26"/>
    <s v="CUST1011"/>
    <x v="2"/>
    <x v="4"/>
    <x v="2"/>
    <n v="2"/>
    <n v="3557"/>
    <n v="7114"/>
    <x v="0"/>
    <x v="0"/>
  </r>
  <r>
    <x v="389"/>
    <x v="22"/>
    <s v="CUST1062"/>
    <x v="3"/>
    <x v="10"/>
    <x v="4"/>
    <n v="2"/>
    <n v="1297"/>
    <n v="2594"/>
    <x v="0"/>
    <x v="4"/>
  </r>
  <r>
    <x v="390"/>
    <x v="171"/>
    <s v="CUST1015"/>
    <x v="2"/>
    <x v="7"/>
    <x v="0"/>
    <n v="10"/>
    <n v="24665"/>
    <n v="246650"/>
    <x v="0"/>
    <x v="14"/>
  </r>
  <r>
    <x v="391"/>
    <x v="60"/>
    <s v="CUST1076"/>
    <x v="0"/>
    <x v="14"/>
    <x v="3"/>
    <n v="4"/>
    <n v="12979"/>
    <n v="51916"/>
    <x v="0"/>
    <x v="4"/>
  </r>
  <r>
    <x v="392"/>
    <x v="180"/>
    <s v="CUST1031"/>
    <x v="0"/>
    <x v="11"/>
    <x v="1"/>
    <n v="5"/>
    <n v="2499"/>
    <n v="12495"/>
    <x v="2"/>
    <x v="0"/>
  </r>
  <r>
    <x v="393"/>
    <x v="43"/>
    <s v="CUST1322"/>
    <x v="3"/>
    <x v="14"/>
    <x v="3"/>
    <n v="4"/>
    <n v="12342"/>
    <n v="49368"/>
    <x v="0"/>
    <x v="10"/>
  </r>
  <r>
    <x v="394"/>
    <x v="81"/>
    <s v="CUST1289"/>
    <x v="1"/>
    <x v="15"/>
    <x v="0"/>
    <n v="6"/>
    <n v="7967"/>
    <n v="47802"/>
    <x v="1"/>
    <x v="12"/>
  </r>
  <r>
    <x v="395"/>
    <x v="116"/>
    <s v="CUST1029"/>
    <x v="3"/>
    <x v="3"/>
    <x v="2"/>
    <n v="1"/>
    <n v="771"/>
    <n v="771"/>
    <x v="0"/>
    <x v="10"/>
  </r>
  <r>
    <x v="396"/>
    <x v="35"/>
    <s v="CUST1126"/>
    <x v="2"/>
    <x v="2"/>
    <x v="1"/>
    <n v="10"/>
    <n v="1319"/>
    <n v="13190"/>
    <x v="2"/>
    <x v="8"/>
  </r>
  <r>
    <x v="397"/>
    <x v="93"/>
    <s v="CUST1198"/>
    <x v="3"/>
    <x v="8"/>
    <x v="1"/>
    <n v="1"/>
    <n v="1579"/>
    <n v="1579"/>
    <x v="1"/>
    <x v="7"/>
  </r>
  <r>
    <x v="398"/>
    <x v="247"/>
    <s v="CUST1183"/>
    <x v="2"/>
    <x v="13"/>
    <x v="3"/>
    <n v="4"/>
    <n v="7129"/>
    <n v="28516"/>
    <x v="0"/>
    <x v="3"/>
  </r>
  <r>
    <x v="399"/>
    <x v="248"/>
    <s v="CUST1277"/>
    <x v="0"/>
    <x v="4"/>
    <x v="2"/>
    <n v="10"/>
    <n v="3249"/>
    <n v="32490"/>
    <x v="2"/>
    <x v="6"/>
  </r>
  <r>
    <x v="400"/>
    <x v="164"/>
    <s v="CUST1244"/>
    <x v="3"/>
    <x v="1"/>
    <x v="0"/>
    <n v="1"/>
    <n v="52058"/>
    <n v="52058"/>
    <x v="0"/>
    <x v="4"/>
  </r>
  <r>
    <x v="401"/>
    <x v="96"/>
    <s v="CUST1030"/>
    <x v="3"/>
    <x v="11"/>
    <x v="1"/>
    <n v="3"/>
    <n v="2420"/>
    <n v="7260"/>
    <x v="0"/>
    <x v="4"/>
  </r>
  <r>
    <x v="402"/>
    <x v="20"/>
    <s v="CUST1339"/>
    <x v="3"/>
    <x v="13"/>
    <x v="3"/>
    <n v="9"/>
    <n v="7504"/>
    <n v="67536"/>
    <x v="2"/>
    <x v="14"/>
  </r>
  <r>
    <x v="403"/>
    <x v="249"/>
    <s v="CUST1327"/>
    <x v="0"/>
    <x v="5"/>
    <x v="2"/>
    <n v="6"/>
    <n v="1669"/>
    <n v="10014"/>
    <x v="0"/>
    <x v="13"/>
  </r>
  <r>
    <x v="404"/>
    <x v="250"/>
    <s v="CUST1114"/>
    <x v="0"/>
    <x v="6"/>
    <x v="3"/>
    <n v="9"/>
    <n v="9348"/>
    <n v="84132"/>
    <x v="2"/>
    <x v="8"/>
  </r>
  <r>
    <x v="405"/>
    <x v="251"/>
    <s v="CUST1000"/>
    <x v="0"/>
    <x v="14"/>
    <x v="3"/>
    <n v="5"/>
    <n v="12561"/>
    <n v="62805"/>
    <x v="0"/>
    <x v="2"/>
  </r>
  <r>
    <x v="406"/>
    <x v="252"/>
    <s v="CUST1113"/>
    <x v="2"/>
    <x v="9"/>
    <x v="4"/>
    <n v="1"/>
    <n v="468"/>
    <n v="468"/>
    <x v="0"/>
    <x v="8"/>
  </r>
  <r>
    <x v="407"/>
    <x v="241"/>
    <s v="CUST1085"/>
    <x v="0"/>
    <x v="10"/>
    <x v="4"/>
    <n v="6"/>
    <n v="1258"/>
    <n v="7548"/>
    <x v="0"/>
    <x v="8"/>
  </r>
  <r>
    <x v="408"/>
    <x v="219"/>
    <s v="CUST1034"/>
    <x v="2"/>
    <x v="0"/>
    <x v="0"/>
    <n v="8"/>
    <n v="2706"/>
    <n v="21648"/>
    <x v="0"/>
    <x v="7"/>
  </r>
  <r>
    <x v="409"/>
    <x v="70"/>
    <s v="CUST1211"/>
    <x v="3"/>
    <x v="1"/>
    <x v="0"/>
    <n v="1"/>
    <n v="53745"/>
    <n v="53745"/>
    <x v="0"/>
    <x v="13"/>
  </r>
  <r>
    <x v="410"/>
    <x v="253"/>
    <s v="CUST1333"/>
    <x v="2"/>
    <x v="4"/>
    <x v="2"/>
    <n v="7"/>
    <n v="3220"/>
    <n v="22540"/>
    <x v="0"/>
    <x v="10"/>
  </r>
  <r>
    <x v="411"/>
    <x v="254"/>
    <s v="CUST1163"/>
    <x v="0"/>
    <x v="14"/>
    <x v="3"/>
    <n v="2"/>
    <n v="12718"/>
    <n v="25436"/>
    <x v="0"/>
    <x v="6"/>
  </r>
  <r>
    <x v="412"/>
    <x v="26"/>
    <s v="CUST1280"/>
    <x v="2"/>
    <x v="0"/>
    <x v="0"/>
    <n v="3"/>
    <n v="3232"/>
    <n v="9696"/>
    <x v="0"/>
    <x v="3"/>
  </r>
  <r>
    <x v="413"/>
    <x v="255"/>
    <s v="CUST1334"/>
    <x v="2"/>
    <x v="4"/>
    <x v="2"/>
    <n v="10"/>
    <n v="3775"/>
    <n v="37750"/>
    <x v="0"/>
    <x v="9"/>
  </r>
  <r>
    <x v="414"/>
    <x v="256"/>
    <s v="CUST1209"/>
    <x v="0"/>
    <x v="10"/>
    <x v="4"/>
    <n v="1"/>
    <n v="1104"/>
    <n v="1104"/>
    <x v="0"/>
    <x v="2"/>
  </r>
  <r>
    <x v="415"/>
    <x v="196"/>
    <s v="CUST1292"/>
    <x v="0"/>
    <x v="2"/>
    <x v="1"/>
    <n v="5"/>
    <n v="1151"/>
    <n v="5755"/>
    <x v="0"/>
    <x v="12"/>
  </r>
  <r>
    <x v="416"/>
    <x v="159"/>
    <s v="CUST1320"/>
    <x v="2"/>
    <x v="13"/>
    <x v="3"/>
    <n v="6"/>
    <n v="6305"/>
    <n v="37830"/>
    <x v="0"/>
    <x v="11"/>
  </r>
  <r>
    <x v="417"/>
    <x v="88"/>
    <s v="CUST1242"/>
    <x v="1"/>
    <x v="1"/>
    <x v="0"/>
    <n v="4"/>
    <n v="51379"/>
    <n v="205516"/>
    <x v="0"/>
    <x v="5"/>
  </r>
  <r>
    <x v="418"/>
    <x v="48"/>
    <s v="CUST1278"/>
    <x v="3"/>
    <x v="12"/>
    <x v="4"/>
    <n v="8"/>
    <n v="1942"/>
    <n v="15536"/>
    <x v="0"/>
    <x v="14"/>
  </r>
  <r>
    <x v="419"/>
    <x v="107"/>
    <s v="CUST1134"/>
    <x v="3"/>
    <x v="12"/>
    <x v="4"/>
    <n v="3"/>
    <n v="1780"/>
    <n v="5340"/>
    <x v="0"/>
    <x v="1"/>
  </r>
  <r>
    <x v="420"/>
    <x v="214"/>
    <s v="CUST1342"/>
    <x v="2"/>
    <x v="11"/>
    <x v="1"/>
    <n v="3"/>
    <n v="2626"/>
    <n v="7878"/>
    <x v="0"/>
    <x v="7"/>
  </r>
  <r>
    <x v="421"/>
    <x v="75"/>
    <s v="CUST1214"/>
    <x v="2"/>
    <x v="9"/>
    <x v="4"/>
    <n v="4"/>
    <n v="505"/>
    <n v="2020"/>
    <x v="0"/>
    <x v="12"/>
  </r>
  <r>
    <x v="422"/>
    <x v="198"/>
    <s v="CUST1257"/>
    <x v="0"/>
    <x v="9"/>
    <x v="4"/>
    <n v="4"/>
    <n v="497"/>
    <n v="1988"/>
    <x v="0"/>
    <x v="11"/>
  </r>
  <r>
    <x v="423"/>
    <x v="195"/>
    <s v="CUST1088"/>
    <x v="2"/>
    <x v="8"/>
    <x v="1"/>
    <n v="10"/>
    <n v="1394"/>
    <n v="13940"/>
    <x v="1"/>
    <x v="9"/>
  </r>
  <r>
    <x v="424"/>
    <x v="105"/>
    <s v="CUST1103"/>
    <x v="2"/>
    <x v="13"/>
    <x v="3"/>
    <n v="1"/>
    <n v="6892"/>
    <n v="6892"/>
    <x v="2"/>
    <x v="5"/>
  </r>
  <r>
    <x v="425"/>
    <x v="257"/>
    <s v="CUST1044"/>
    <x v="0"/>
    <x v="2"/>
    <x v="1"/>
    <n v="6"/>
    <n v="1298"/>
    <n v="7788"/>
    <x v="2"/>
    <x v="14"/>
  </r>
  <r>
    <x v="426"/>
    <x v="258"/>
    <s v="CUST1319"/>
    <x v="0"/>
    <x v="2"/>
    <x v="1"/>
    <n v="5"/>
    <n v="1204"/>
    <n v="6020"/>
    <x v="2"/>
    <x v="11"/>
  </r>
  <r>
    <x v="427"/>
    <x v="11"/>
    <s v="CUST1051"/>
    <x v="1"/>
    <x v="10"/>
    <x v="4"/>
    <n v="7"/>
    <n v="1115"/>
    <n v="7805"/>
    <x v="0"/>
    <x v="3"/>
  </r>
  <r>
    <x v="428"/>
    <x v="90"/>
    <s v="CUST1196"/>
    <x v="3"/>
    <x v="0"/>
    <x v="0"/>
    <n v="9"/>
    <n v="3228"/>
    <n v="29052"/>
    <x v="0"/>
    <x v="8"/>
  </r>
  <r>
    <x v="429"/>
    <x v="210"/>
    <s v="CUST1311"/>
    <x v="1"/>
    <x v="2"/>
    <x v="1"/>
    <n v="1"/>
    <n v="1121"/>
    <n v="1121"/>
    <x v="0"/>
    <x v="8"/>
  </r>
  <r>
    <x v="430"/>
    <x v="119"/>
    <s v="CUST1137"/>
    <x v="0"/>
    <x v="15"/>
    <x v="0"/>
    <n v="6"/>
    <n v="8304"/>
    <n v="49824"/>
    <x v="0"/>
    <x v="3"/>
  </r>
  <r>
    <x v="431"/>
    <x v="62"/>
    <s v="CUST1050"/>
    <x v="1"/>
    <x v="5"/>
    <x v="2"/>
    <n v="5"/>
    <n v="1720"/>
    <n v="8600"/>
    <x v="0"/>
    <x v="5"/>
  </r>
  <r>
    <x v="432"/>
    <x v="86"/>
    <s v="CUST1309"/>
    <x v="3"/>
    <x v="4"/>
    <x v="2"/>
    <n v="8"/>
    <n v="3691"/>
    <n v="29528"/>
    <x v="0"/>
    <x v="8"/>
  </r>
  <r>
    <x v="433"/>
    <x v="20"/>
    <s v="CUST1028"/>
    <x v="3"/>
    <x v="10"/>
    <x v="4"/>
    <n v="7"/>
    <n v="1257"/>
    <n v="8799"/>
    <x v="0"/>
    <x v="12"/>
  </r>
  <r>
    <x v="434"/>
    <x v="259"/>
    <s v="CUST1291"/>
    <x v="2"/>
    <x v="0"/>
    <x v="0"/>
    <n v="9"/>
    <n v="2942"/>
    <n v="26478"/>
    <x v="0"/>
    <x v="4"/>
  </r>
  <r>
    <x v="435"/>
    <x v="212"/>
    <s v="CUST1101"/>
    <x v="3"/>
    <x v="13"/>
    <x v="3"/>
    <n v="4"/>
    <n v="6346"/>
    <n v="25384"/>
    <x v="0"/>
    <x v="6"/>
  </r>
  <r>
    <x v="436"/>
    <x v="128"/>
    <s v="CUST1123"/>
    <x v="1"/>
    <x v="9"/>
    <x v="4"/>
    <n v="7"/>
    <n v="513"/>
    <n v="3591"/>
    <x v="0"/>
    <x v="7"/>
  </r>
  <r>
    <x v="437"/>
    <x v="176"/>
    <s v="CUST1132"/>
    <x v="1"/>
    <x v="10"/>
    <x v="4"/>
    <n v="8"/>
    <n v="1220"/>
    <n v="9760"/>
    <x v="0"/>
    <x v="2"/>
  </r>
  <r>
    <x v="438"/>
    <x v="23"/>
    <s v="CUST1109"/>
    <x v="2"/>
    <x v="0"/>
    <x v="0"/>
    <n v="1"/>
    <n v="2931"/>
    <n v="2931"/>
    <x v="0"/>
    <x v="5"/>
  </r>
  <r>
    <x v="439"/>
    <x v="254"/>
    <s v="CUST1349"/>
    <x v="3"/>
    <x v="6"/>
    <x v="3"/>
    <n v="4"/>
    <n v="8584"/>
    <n v="34336"/>
    <x v="0"/>
    <x v="4"/>
  </r>
  <r>
    <x v="440"/>
    <x v="220"/>
    <s v="CUST1311"/>
    <x v="1"/>
    <x v="6"/>
    <x v="3"/>
    <n v="3"/>
    <n v="9182"/>
    <n v="27546"/>
    <x v="0"/>
    <x v="10"/>
  </r>
  <r>
    <x v="441"/>
    <x v="194"/>
    <s v="CUST1238"/>
    <x v="2"/>
    <x v="5"/>
    <x v="2"/>
    <n v="7"/>
    <n v="1926"/>
    <n v="13482"/>
    <x v="0"/>
    <x v="6"/>
  </r>
  <r>
    <x v="442"/>
    <x v="260"/>
    <s v="CUST1191"/>
    <x v="0"/>
    <x v="2"/>
    <x v="1"/>
    <n v="10"/>
    <n v="1104"/>
    <n v="11040"/>
    <x v="0"/>
    <x v="12"/>
  </r>
  <r>
    <x v="443"/>
    <x v="228"/>
    <s v="CUST1141"/>
    <x v="0"/>
    <x v="2"/>
    <x v="1"/>
    <n v="5"/>
    <n v="1244"/>
    <n v="6220"/>
    <x v="0"/>
    <x v="8"/>
  </r>
  <r>
    <x v="444"/>
    <x v="79"/>
    <s v="CUST1029"/>
    <x v="3"/>
    <x v="5"/>
    <x v="2"/>
    <n v="5"/>
    <n v="1687"/>
    <n v="8435"/>
    <x v="0"/>
    <x v="10"/>
  </r>
  <r>
    <x v="445"/>
    <x v="57"/>
    <s v="CUST1254"/>
    <x v="2"/>
    <x v="2"/>
    <x v="1"/>
    <n v="6"/>
    <n v="1243"/>
    <n v="7458"/>
    <x v="0"/>
    <x v="6"/>
  </r>
  <r>
    <x v="446"/>
    <x v="23"/>
    <s v="CUST1097"/>
    <x v="3"/>
    <x v="12"/>
    <x v="4"/>
    <n v="7"/>
    <n v="1885"/>
    <n v="13195"/>
    <x v="0"/>
    <x v="7"/>
  </r>
  <r>
    <x v="447"/>
    <x v="261"/>
    <s v="CUST1183"/>
    <x v="0"/>
    <x v="6"/>
    <x v="3"/>
    <n v="9"/>
    <n v="9248"/>
    <n v="83232"/>
    <x v="0"/>
    <x v="12"/>
  </r>
  <r>
    <x v="448"/>
    <x v="262"/>
    <s v="CUST1132"/>
    <x v="3"/>
    <x v="6"/>
    <x v="3"/>
    <n v="9"/>
    <n v="8426"/>
    <n v="75834"/>
    <x v="0"/>
    <x v="2"/>
  </r>
  <r>
    <x v="449"/>
    <x v="47"/>
    <s v="CUST1157"/>
    <x v="2"/>
    <x v="6"/>
    <x v="3"/>
    <n v="6"/>
    <n v="9277"/>
    <n v="55662"/>
    <x v="0"/>
    <x v="14"/>
  </r>
  <r>
    <x v="450"/>
    <x v="263"/>
    <s v="CUST1240"/>
    <x v="2"/>
    <x v="5"/>
    <x v="2"/>
    <n v="5"/>
    <n v="1830"/>
    <n v="9150"/>
    <x v="0"/>
    <x v="4"/>
  </r>
  <r>
    <x v="451"/>
    <x v="264"/>
    <s v="CUST1061"/>
    <x v="2"/>
    <x v="8"/>
    <x v="1"/>
    <n v="10"/>
    <n v="1371"/>
    <n v="13710"/>
    <x v="0"/>
    <x v="5"/>
  </r>
  <r>
    <x v="452"/>
    <x v="131"/>
    <s v="CUST1102"/>
    <x v="0"/>
    <x v="2"/>
    <x v="1"/>
    <n v="7"/>
    <n v="1092"/>
    <n v="7644"/>
    <x v="1"/>
    <x v="7"/>
  </r>
  <r>
    <x v="453"/>
    <x v="88"/>
    <s v="CUST1249"/>
    <x v="1"/>
    <x v="2"/>
    <x v="1"/>
    <n v="3"/>
    <n v="1155"/>
    <n v="3465"/>
    <x v="0"/>
    <x v="7"/>
  </r>
  <r>
    <x v="454"/>
    <x v="54"/>
    <s v="CUST1295"/>
    <x v="0"/>
    <x v="14"/>
    <x v="3"/>
    <n v="1"/>
    <n v="10811"/>
    <n v="10811"/>
    <x v="0"/>
    <x v="10"/>
  </r>
  <r>
    <x v="455"/>
    <x v="231"/>
    <s v="CUST1244"/>
    <x v="3"/>
    <x v="7"/>
    <x v="0"/>
    <n v="10"/>
    <n v="24668"/>
    <n v="246680"/>
    <x v="0"/>
    <x v="14"/>
  </r>
  <r>
    <x v="456"/>
    <x v="265"/>
    <s v="CUST1097"/>
    <x v="3"/>
    <x v="11"/>
    <x v="1"/>
    <n v="6"/>
    <n v="2725"/>
    <n v="16350"/>
    <x v="0"/>
    <x v="4"/>
  </r>
  <r>
    <x v="457"/>
    <x v="101"/>
    <s v="CUST1301"/>
    <x v="0"/>
    <x v="13"/>
    <x v="3"/>
    <n v="6"/>
    <n v="6736"/>
    <n v="40416"/>
    <x v="0"/>
    <x v="6"/>
  </r>
  <r>
    <x v="458"/>
    <x v="259"/>
    <s v="CUST1172"/>
    <x v="3"/>
    <x v="0"/>
    <x v="0"/>
    <n v="5"/>
    <n v="2973"/>
    <n v="14865"/>
    <x v="0"/>
    <x v="14"/>
  </r>
  <r>
    <x v="459"/>
    <x v="52"/>
    <s v="CUST1009"/>
    <x v="2"/>
    <x v="14"/>
    <x v="3"/>
    <n v="8"/>
    <n v="11662"/>
    <n v="93296"/>
    <x v="0"/>
    <x v="1"/>
  </r>
  <r>
    <x v="460"/>
    <x v="174"/>
    <s v="CUST1333"/>
    <x v="3"/>
    <x v="13"/>
    <x v="3"/>
    <n v="1"/>
    <n v="7125"/>
    <n v="7125"/>
    <x v="0"/>
    <x v="10"/>
  </r>
  <r>
    <x v="461"/>
    <x v="159"/>
    <s v="CUST1055"/>
    <x v="3"/>
    <x v="4"/>
    <x v="2"/>
    <n v="10"/>
    <n v="3184"/>
    <n v="31840"/>
    <x v="2"/>
    <x v="8"/>
  </r>
  <r>
    <x v="462"/>
    <x v="220"/>
    <s v="CUST1242"/>
    <x v="2"/>
    <x v="1"/>
    <x v="0"/>
    <n v="7"/>
    <n v="54387"/>
    <n v="380709"/>
    <x v="0"/>
    <x v="2"/>
  </r>
  <r>
    <x v="463"/>
    <x v="266"/>
    <s v="CUST1318"/>
    <x v="3"/>
    <x v="0"/>
    <x v="0"/>
    <n v="7"/>
    <n v="3096"/>
    <n v="21672"/>
    <x v="0"/>
    <x v="11"/>
  </r>
  <r>
    <x v="464"/>
    <x v="267"/>
    <s v="CUST1054"/>
    <x v="0"/>
    <x v="10"/>
    <x v="4"/>
    <n v="9"/>
    <n v="1252"/>
    <n v="11268"/>
    <x v="0"/>
    <x v="13"/>
  </r>
  <r>
    <x v="465"/>
    <x v="143"/>
    <s v="CUST1151"/>
    <x v="3"/>
    <x v="14"/>
    <x v="3"/>
    <n v="9"/>
    <n v="13135"/>
    <n v="118215"/>
    <x v="0"/>
    <x v="9"/>
  </r>
  <r>
    <x v="466"/>
    <x v="261"/>
    <s v="CUST1045"/>
    <x v="3"/>
    <x v="10"/>
    <x v="4"/>
    <n v="8"/>
    <n v="1159"/>
    <n v="9272"/>
    <x v="0"/>
    <x v="3"/>
  </r>
  <r>
    <x v="467"/>
    <x v="221"/>
    <s v="CUST1038"/>
    <x v="3"/>
    <x v="8"/>
    <x v="1"/>
    <n v="8"/>
    <n v="1394"/>
    <n v="11152"/>
    <x v="0"/>
    <x v="2"/>
  </r>
  <r>
    <x v="468"/>
    <x v="90"/>
    <s v="CUST1237"/>
    <x v="0"/>
    <x v="4"/>
    <x v="2"/>
    <n v="4"/>
    <n v="3469"/>
    <n v="13876"/>
    <x v="2"/>
    <x v="4"/>
  </r>
  <r>
    <x v="469"/>
    <x v="268"/>
    <s v="CUST1059"/>
    <x v="3"/>
    <x v="13"/>
    <x v="3"/>
    <n v="5"/>
    <n v="6804"/>
    <n v="34020"/>
    <x v="0"/>
    <x v="0"/>
  </r>
  <r>
    <x v="470"/>
    <x v="109"/>
    <s v="CUST1224"/>
    <x v="2"/>
    <x v="1"/>
    <x v="0"/>
    <n v="3"/>
    <n v="56796"/>
    <n v="170388"/>
    <x v="0"/>
    <x v="11"/>
  </r>
  <r>
    <x v="471"/>
    <x v="269"/>
    <s v="CUST1139"/>
    <x v="3"/>
    <x v="0"/>
    <x v="0"/>
    <n v="6"/>
    <n v="2809"/>
    <n v="16854"/>
    <x v="0"/>
    <x v="5"/>
  </r>
  <r>
    <x v="472"/>
    <x v="270"/>
    <s v="CUST1081"/>
    <x v="1"/>
    <x v="12"/>
    <x v="4"/>
    <n v="3"/>
    <n v="1660"/>
    <n v="4980"/>
    <x v="0"/>
    <x v="0"/>
  </r>
  <r>
    <x v="473"/>
    <x v="67"/>
    <s v="CUST1183"/>
    <x v="1"/>
    <x v="2"/>
    <x v="1"/>
    <n v="10"/>
    <n v="1242"/>
    <n v="12420"/>
    <x v="0"/>
    <x v="11"/>
  </r>
  <r>
    <x v="474"/>
    <x v="106"/>
    <s v="CUST1032"/>
    <x v="3"/>
    <x v="14"/>
    <x v="3"/>
    <n v="8"/>
    <n v="11071"/>
    <n v="88568"/>
    <x v="0"/>
    <x v="6"/>
  </r>
  <r>
    <x v="475"/>
    <x v="210"/>
    <s v="CUST1048"/>
    <x v="0"/>
    <x v="7"/>
    <x v="0"/>
    <n v="6"/>
    <n v="25095"/>
    <n v="150570"/>
    <x v="0"/>
    <x v="14"/>
  </r>
  <r>
    <x v="476"/>
    <x v="271"/>
    <s v="CUST1285"/>
    <x v="0"/>
    <x v="14"/>
    <x v="3"/>
    <n v="6"/>
    <n v="12392"/>
    <n v="74352"/>
    <x v="0"/>
    <x v="3"/>
  </r>
  <r>
    <x v="477"/>
    <x v="224"/>
    <s v="CUST1084"/>
    <x v="2"/>
    <x v="1"/>
    <x v="0"/>
    <n v="3"/>
    <n v="55061"/>
    <n v="165183"/>
    <x v="0"/>
    <x v="0"/>
  </r>
  <r>
    <x v="478"/>
    <x v="47"/>
    <s v="CUST1281"/>
    <x v="2"/>
    <x v="3"/>
    <x v="2"/>
    <n v="6"/>
    <n v="875"/>
    <n v="5250"/>
    <x v="0"/>
    <x v="8"/>
  </r>
  <r>
    <x v="479"/>
    <x v="272"/>
    <s v="CUST1255"/>
    <x v="1"/>
    <x v="13"/>
    <x v="3"/>
    <n v="8"/>
    <n v="6921"/>
    <n v="55368"/>
    <x v="0"/>
    <x v="13"/>
  </r>
  <r>
    <x v="480"/>
    <x v="273"/>
    <s v="CUST1281"/>
    <x v="3"/>
    <x v="9"/>
    <x v="4"/>
    <n v="1"/>
    <n v="460"/>
    <n v="460"/>
    <x v="0"/>
    <x v="4"/>
  </r>
  <r>
    <x v="481"/>
    <x v="57"/>
    <s v="CUST1343"/>
    <x v="2"/>
    <x v="8"/>
    <x v="1"/>
    <n v="5"/>
    <n v="1617"/>
    <n v="8085"/>
    <x v="0"/>
    <x v="13"/>
  </r>
  <r>
    <x v="482"/>
    <x v="274"/>
    <s v="CUST1307"/>
    <x v="2"/>
    <x v="3"/>
    <x v="2"/>
    <n v="4"/>
    <n v="855"/>
    <n v="3420"/>
    <x v="0"/>
    <x v="13"/>
  </r>
  <r>
    <x v="483"/>
    <x v="246"/>
    <s v="CUST1001"/>
    <x v="0"/>
    <x v="4"/>
    <x v="2"/>
    <n v="8"/>
    <n v="3229"/>
    <n v="25832"/>
    <x v="0"/>
    <x v="7"/>
  </r>
  <r>
    <x v="484"/>
    <x v="233"/>
    <s v="CUST1252"/>
    <x v="1"/>
    <x v="4"/>
    <x v="2"/>
    <n v="9"/>
    <n v="3411"/>
    <n v="30699"/>
    <x v="0"/>
    <x v="9"/>
  </r>
  <r>
    <x v="485"/>
    <x v="196"/>
    <s v="CUST1110"/>
    <x v="2"/>
    <x v="10"/>
    <x v="4"/>
    <n v="5"/>
    <n v="1226"/>
    <n v="6130"/>
    <x v="0"/>
    <x v="13"/>
  </r>
  <r>
    <x v="486"/>
    <x v="211"/>
    <s v="CUST1344"/>
    <x v="2"/>
    <x v="6"/>
    <x v="3"/>
    <n v="6"/>
    <n v="8293"/>
    <n v="49758"/>
    <x v="0"/>
    <x v="11"/>
  </r>
  <r>
    <x v="487"/>
    <x v="275"/>
    <s v="CUST1002"/>
    <x v="3"/>
    <x v="12"/>
    <x v="4"/>
    <n v="10"/>
    <n v="1964"/>
    <n v="19640"/>
    <x v="0"/>
    <x v="12"/>
  </r>
  <r>
    <x v="488"/>
    <x v="251"/>
    <s v="CUST1296"/>
    <x v="0"/>
    <x v="2"/>
    <x v="1"/>
    <n v="10"/>
    <n v="1195"/>
    <n v="11950"/>
    <x v="0"/>
    <x v="9"/>
  </r>
  <r>
    <x v="489"/>
    <x v="276"/>
    <s v="CUST1258"/>
    <x v="0"/>
    <x v="13"/>
    <x v="3"/>
    <n v="7"/>
    <n v="7220"/>
    <n v="50540"/>
    <x v="0"/>
    <x v="3"/>
  </r>
  <r>
    <x v="490"/>
    <x v="277"/>
    <s v="CUST1231"/>
    <x v="1"/>
    <x v="8"/>
    <x v="1"/>
    <n v="4"/>
    <n v="1432"/>
    <n v="5728"/>
    <x v="2"/>
    <x v="10"/>
  </r>
  <r>
    <x v="491"/>
    <x v="278"/>
    <s v="CUST1283"/>
    <x v="3"/>
    <x v="9"/>
    <x v="4"/>
    <n v="9"/>
    <n v="479"/>
    <n v="4311"/>
    <x v="0"/>
    <x v="8"/>
  </r>
  <r>
    <x v="492"/>
    <x v="279"/>
    <s v="CUST1332"/>
    <x v="3"/>
    <x v="6"/>
    <x v="3"/>
    <n v="5"/>
    <n v="9335"/>
    <n v="46675"/>
    <x v="1"/>
    <x v="9"/>
  </r>
  <r>
    <x v="493"/>
    <x v="11"/>
    <s v="CUST1292"/>
    <x v="1"/>
    <x v="4"/>
    <x v="2"/>
    <n v="2"/>
    <n v="3682"/>
    <n v="7364"/>
    <x v="0"/>
    <x v="8"/>
  </r>
  <r>
    <x v="494"/>
    <x v="280"/>
    <s v="CUST1195"/>
    <x v="0"/>
    <x v="2"/>
    <x v="1"/>
    <n v="7"/>
    <n v="1273"/>
    <n v="8911"/>
    <x v="0"/>
    <x v="9"/>
  </r>
  <r>
    <x v="495"/>
    <x v="185"/>
    <s v="CUST1349"/>
    <x v="3"/>
    <x v="7"/>
    <x v="0"/>
    <n v="5"/>
    <n v="26250"/>
    <n v="131250"/>
    <x v="0"/>
    <x v="6"/>
  </r>
  <r>
    <x v="496"/>
    <x v="281"/>
    <s v="CUST1052"/>
    <x v="3"/>
    <x v="0"/>
    <x v="0"/>
    <n v="4"/>
    <n v="3152"/>
    <n v="12608"/>
    <x v="0"/>
    <x v="11"/>
  </r>
  <r>
    <x v="497"/>
    <x v="62"/>
    <s v="CUST1147"/>
    <x v="2"/>
    <x v="11"/>
    <x v="1"/>
    <n v="9"/>
    <n v="2444"/>
    <n v="21996"/>
    <x v="0"/>
    <x v="2"/>
  </r>
  <r>
    <x v="498"/>
    <x v="278"/>
    <s v="CUST1282"/>
    <x v="0"/>
    <x v="12"/>
    <x v="4"/>
    <n v="7"/>
    <n v="1964"/>
    <n v="13748"/>
    <x v="2"/>
    <x v="4"/>
  </r>
  <r>
    <x v="499"/>
    <x v="182"/>
    <s v="CUST1115"/>
    <x v="3"/>
    <x v="3"/>
    <x v="2"/>
    <n v="10"/>
    <n v="859"/>
    <n v="8590"/>
    <x v="0"/>
    <x v="3"/>
  </r>
  <r>
    <x v="500"/>
    <x v="135"/>
    <s v="CUST1150"/>
    <x v="0"/>
    <x v="4"/>
    <x v="2"/>
    <n v="9"/>
    <n v="3666"/>
    <n v="32994"/>
    <x v="0"/>
    <x v="13"/>
  </r>
  <r>
    <x v="501"/>
    <x v="92"/>
    <s v="CUST1219"/>
    <x v="3"/>
    <x v="7"/>
    <x v="0"/>
    <n v="3"/>
    <n v="26175"/>
    <n v="78525"/>
    <x v="0"/>
    <x v="6"/>
  </r>
  <r>
    <x v="502"/>
    <x v="107"/>
    <s v="CUST1079"/>
    <x v="0"/>
    <x v="13"/>
    <x v="3"/>
    <n v="10"/>
    <n v="7484"/>
    <n v="74840"/>
    <x v="0"/>
    <x v="4"/>
  </r>
  <r>
    <x v="503"/>
    <x v="159"/>
    <s v="CUST1154"/>
    <x v="3"/>
    <x v="4"/>
    <x v="2"/>
    <n v="1"/>
    <n v="3691"/>
    <n v="3691"/>
    <x v="0"/>
    <x v="13"/>
  </r>
  <r>
    <x v="504"/>
    <x v="282"/>
    <s v="CUST1094"/>
    <x v="2"/>
    <x v="2"/>
    <x v="1"/>
    <n v="2"/>
    <n v="1268"/>
    <n v="2536"/>
    <x v="0"/>
    <x v="12"/>
  </r>
  <r>
    <x v="505"/>
    <x v="283"/>
    <s v="CUST1113"/>
    <x v="3"/>
    <x v="11"/>
    <x v="1"/>
    <n v="7"/>
    <n v="2521"/>
    <n v="17647"/>
    <x v="0"/>
    <x v="3"/>
  </r>
  <r>
    <x v="506"/>
    <x v="210"/>
    <s v="CUST1271"/>
    <x v="3"/>
    <x v="5"/>
    <x v="2"/>
    <n v="6"/>
    <n v="1725"/>
    <n v="10350"/>
    <x v="2"/>
    <x v="13"/>
  </r>
  <r>
    <x v="507"/>
    <x v="284"/>
    <s v="CUST1318"/>
    <x v="2"/>
    <x v="1"/>
    <x v="0"/>
    <n v="6"/>
    <n v="54402"/>
    <n v="326412"/>
    <x v="1"/>
    <x v="1"/>
  </r>
  <r>
    <x v="508"/>
    <x v="285"/>
    <s v="CUST1012"/>
    <x v="2"/>
    <x v="5"/>
    <x v="2"/>
    <n v="2"/>
    <n v="1758"/>
    <n v="3516"/>
    <x v="0"/>
    <x v="3"/>
  </r>
  <r>
    <x v="509"/>
    <x v="286"/>
    <s v="CUST1098"/>
    <x v="1"/>
    <x v="4"/>
    <x v="2"/>
    <n v="9"/>
    <n v="3461"/>
    <n v="31149"/>
    <x v="0"/>
    <x v="7"/>
  </r>
  <r>
    <x v="510"/>
    <x v="287"/>
    <s v="CUST1343"/>
    <x v="1"/>
    <x v="7"/>
    <x v="0"/>
    <n v="9"/>
    <n v="25166"/>
    <n v="226494"/>
    <x v="0"/>
    <x v="8"/>
  </r>
  <r>
    <x v="511"/>
    <x v="105"/>
    <s v="CUST1331"/>
    <x v="2"/>
    <x v="10"/>
    <x v="4"/>
    <n v="4"/>
    <n v="1209"/>
    <n v="4836"/>
    <x v="0"/>
    <x v="5"/>
  </r>
  <r>
    <x v="512"/>
    <x v="56"/>
    <s v="CUST1027"/>
    <x v="2"/>
    <x v="13"/>
    <x v="3"/>
    <n v="8"/>
    <n v="7303"/>
    <n v="58424"/>
    <x v="0"/>
    <x v="9"/>
  </r>
  <r>
    <x v="513"/>
    <x v="61"/>
    <s v="CUST1198"/>
    <x v="2"/>
    <x v="11"/>
    <x v="1"/>
    <n v="10"/>
    <n v="2660"/>
    <n v="26600"/>
    <x v="1"/>
    <x v="13"/>
  </r>
  <r>
    <x v="514"/>
    <x v="2"/>
    <s v="CUST1328"/>
    <x v="0"/>
    <x v="12"/>
    <x v="4"/>
    <n v="1"/>
    <n v="1760"/>
    <n v="1760"/>
    <x v="0"/>
    <x v="2"/>
  </r>
  <r>
    <x v="515"/>
    <x v="186"/>
    <s v="CUST1154"/>
    <x v="0"/>
    <x v="11"/>
    <x v="1"/>
    <n v="2"/>
    <n v="2428"/>
    <n v="4856"/>
    <x v="0"/>
    <x v="11"/>
  </r>
  <r>
    <x v="516"/>
    <x v="288"/>
    <s v="CUST1273"/>
    <x v="3"/>
    <x v="12"/>
    <x v="4"/>
    <n v="7"/>
    <n v="1915"/>
    <n v="13405"/>
    <x v="0"/>
    <x v="1"/>
  </r>
  <r>
    <x v="517"/>
    <x v="0"/>
    <s v="CUST1331"/>
    <x v="3"/>
    <x v="9"/>
    <x v="4"/>
    <n v="5"/>
    <n v="546"/>
    <n v="2730"/>
    <x v="0"/>
    <x v="7"/>
  </r>
  <r>
    <x v="518"/>
    <x v="196"/>
    <s v="CUST1275"/>
    <x v="2"/>
    <x v="7"/>
    <x v="0"/>
    <n v="2"/>
    <n v="22708"/>
    <n v="45416"/>
    <x v="0"/>
    <x v="12"/>
  </r>
  <r>
    <x v="519"/>
    <x v="130"/>
    <s v="CUST1072"/>
    <x v="2"/>
    <x v="3"/>
    <x v="2"/>
    <n v="6"/>
    <n v="753"/>
    <n v="4518"/>
    <x v="1"/>
    <x v="9"/>
  </r>
  <r>
    <x v="520"/>
    <x v="208"/>
    <s v="CUST1027"/>
    <x v="3"/>
    <x v="2"/>
    <x v="1"/>
    <n v="4"/>
    <n v="1107"/>
    <n v="4428"/>
    <x v="0"/>
    <x v="5"/>
  </r>
  <r>
    <x v="521"/>
    <x v="289"/>
    <s v="CUST1050"/>
    <x v="2"/>
    <x v="2"/>
    <x v="1"/>
    <n v="9"/>
    <n v="1097"/>
    <n v="9873"/>
    <x v="0"/>
    <x v="1"/>
  </r>
  <r>
    <x v="522"/>
    <x v="35"/>
    <s v="CUST1145"/>
    <x v="0"/>
    <x v="12"/>
    <x v="4"/>
    <n v="6"/>
    <n v="1666"/>
    <n v="9996"/>
    <x v="0"/>
    <x v="11"/>
  </r>
  <r>
    <x v="523"/>
    <x v="290"/>
    <s v="CUST1299"/>
    <x v="3"/>
    <x v="14"/>
    <x v="3"/>
    <n v="8"/>
    <n v="11881"/>
    <n v="95048"/>
    <x v="0"/>
    <x v="9"/>
  </r>
  <r>
    <x v="524"/>
    <x v="246"/>
    <s v="CUST1328"/>
    <x v="0"/>
    <x v="5"/>
    <x v="2"/>
    <n v="7"/>
    <n v="1680"/>
    <n v="11760"/>
    <x v="0"/>
    <x v="14"/>
  </r>
  <r>
    <x v="525"/>
    <x v="109"/>
    <s v="CUST1156"/>
    <x v="3"/>
    <x v="3"/>
    <x v="2"/>
    <n v="6"/>
    <n v="860"/>
    <n v="5160"/>
    <x v="0"/>
    <x v="13"/>
  </r>
  <r>
    <x v="526"/>
    <x v="152"/>
    <s v="CUST1275"/>
    <x v="0"/>
    <x v="6"/>
    <x v="3"/>
    <n v="10"/>
    <n v="8247"/>
    <n v="82470"/>
    <x v="0"/>
    <x v="1"/>
  </r>
  <r>
    <x v="527"/>
    <x v="167"/>
    <s v="CUST1296"/>
    <x v="3"/>
    <x v="1"/>
    <x v="0"/>
    <n v="1"/>
    <n v="58845"/>
    <n v="58845"/>
    <x v="0"/>
    <x v="14"/>
  </r>
  <r>
    <x v="528"/>
    <x v="16"/>
    <s v="CUST1241"/>
    <x v="2"/>
    <x v="13"/>
    <x v="3"/>
    <n v="9"/>
    <n v="6664"/>
    <n v="59976"/>
    <x v="0"/>
    <x v="8"/>
  </r>
  <r>
    <x v="529"/>
    <x v="186"/>
    <s v="CUST1068"/>
    <x v="2"/>
    <x v="5"/>
    <x v="2"/>
    <n v="4"/>
    <n v="1940"/>
    <n v="7760"/>
    <x v="0"/>
    <x v="13"/>
  </r>
  <r>
    <x v="530"/>
    <x v="284"/>
    <s v="CUST1084"/>
    <x v="1"/>
    <x v="15"/>
    <x v="0"/>
    <n v="6"/>
    <n v="8003"/>
    <n v="48018"/>
    <x v="0"/>
    <x v="10"/>
  </r>
  <r>
    <x v="531"/>
    <x v="204"/>
    <s v="CUST1247"/>
    <x v="1"/>
    <x v="10"/>
    <x v="4"/>
    <n v="3"/>
    <n v="1215"/>
    <n v="3645"/>
    <x v="0"/>
    <x v="7"/>
  </r>
  <r>
    <x v="532"/>
    <x v="153"/>
    <s v="CUST1105"/>
    <x v="3"/>
    <x v="10"/>
    <x v="4"/>
    <n v="2"/>
    <n v="1143"/>
    <n v="2286"/>
    <x v="0"/>
    <x v="12"/>
  </r>
  <r>
    <x v="533"/>
    <x v="92"/>
    <s v="CUST1332"/>
    <x v="2"/>
    <x v="5"/>
    <x v="2"/>
    <n v="8"/>
    <n v="1950"/>
    <n v="15600"/>
    <x v="0"/>
    <x v="7"/>
  </r>
  <r>
    <x v="534"/>
    <x v="157"/>
    <s v="CUST1291"/>
    <x v="3"/>
    <x v="8"/>
    <x v="1"/>
    <n v="5"/>
    <n v="1600"/>
    <n v="8000"/>
    <x v="0"/>
    <x v="9"/>
  </r>
  <r>
    <x v="535"/>
    <x v="291"/>
    <s v="CUST1128"/>
    <x v="1"/>
    <x v="12"/>
    <x v="4"/>
    <n v="10"/>
    <n v="1855"/>
    <n v="18550"/>
    <x v="1"/>
    <x v="14"/>
  </r>
  <r>
    <x v="536"/>
    <x v="104"/>
    <s v="CUST1246"/>
    <x v="2"/>
    <x v="6"/>
    <x v="3"/>
    <n v="7"/>
    <n v="8735"/>
    <n v="61145"/>
    <x v="0"/>
    <x v="3"/>
  </r>
  <r>
    <x v="537"/>
    <x v="292"/>
    <s v="CUST1143"/>
    <x v="0"/>
    <x v="11"/>
    <x v="1"/>
    <n v="8"/>
    <n v="2332"/>
    <n v="18656"/>
    <x v="0"/>
    <x v="1"/>
  </r>
  <r>
    <x v="538"/>
    <x v="205"/>
    <s v="CUST1212"/>
    <x v="3"/>
    <x v="14"/>
    <x v="3"/>
    <n v="10"/>
    <n v="12521"/>
    <n v="125210"/>
    <x v="0"/>
    <x v="10"/>
  </r>
  <r>
    <x v="539"/>
    <x v="293"/>
    <s v="CUST1210"/>
    <x v="3"/>
    <x v="15"/>
    <x v="0"/>
    <n v="8"/>
    <n v="7966"/>
    <n v="63728"/>
    <x v="0"/>
    <x v="4"/>
  </r>
  <r>
    <x v="540"/>
    <x v="92"/>
    <s v="CUST1293"/>
    <x v="3"/>
    <x v="6"/>
    <x v="3"/>
    <n v="10"/>
    <n v="8390"/>
    <n v="83900"/>
    <x v="0"/>
    <x v="9"/>
  </r>
  <r>
    <x v="541"/>
    <x v="193"/>
    <s v="CUST1326"/>
    <x v="3"/>
    <x v="3"/>
    <x v="2"/>
    <n v="9"/>
    <n v="873"/>
    <n v="7857"/>
    <x v="0"/>
    <x v="4"/>
  </r>
  <r>
    <x v="542"/>
    <x v="148"/>
    <s v="CUST1087"/>
    <x v="2"/>
    <x v="3"/>
    <x v="2"/>
    <n v="4"/>
    <n v="791"/>
    <n v="3164"/>
    <x v="2"/>
    <x v="1"/>
  </r>
  <r>
    <x v="543"/>
    <x v="294"/>
    <s v="CUST1261"/>
    <x v="2"/>
    <x v="11"/>
    <x v="1"/>
    <n v="10"/>
    <n v="2660"/>
    <n v="26600"/>
    <x v="0"/>
    <x v="6"/>
  </r>
  <r>
    <x v="544"/>
    <x v="158"/>
    <s v="CUST1067"/>
    <x v="3"/>
    <x v="5"/>
    <x v="2"/>
    <n v="10"/>
    <n v="1832"/>
    <n v="18320"/>
    <x v="0"/>
    <x v="0"/>
  </r>
  <r>
    <x v="545"/>
    <x v="251"/>
    <s v="CUST1243"/>
    <x v="3"/>
    <x v="8"/>
    <x v="1"/>
    <n v="7"/>
    <n v="1597"/>
    <n v="11179"/>
    <x v="0"/>
    <x v="3"/>
  </r>
  <r>
    <x v="546"/>
    <x v="136"/>
    <s v="CUST1276"/>
    <x v="0"/>
    <x v="1"/>
    <x v="0"/>
    <n v="2"/>
    <n v="54804"/>
    <n v="109608"/>
    <x v="0"/>
    <x v="5"/>
  </r>
  <r>
    <x v="547"/>
    <x v="265"/>
    <s v="CUST1219"/>
    <x v="3"/>
    <x v="9"/>
    <x v="4"/>
    <n v="7"/>
    <n v="487"/>
    <n v="3409"/>
    <x v="0"/>
    <x v="1"/>
  </r>
  <r>
    <x v="548"/>
    <x v="62"/>
    <s v="CUST1294"/>
    <x v="2"/>
    <x v="12"/>
    <x v="4"/>
    <n v="6"/>
    <n v="1832"/>
    <n v="10992"/>
    <x v="0"/>
    <x v="0"/>
  </r>
  <r>
    <x v="549"/>
    <x v="295"/>
    <s v="CUST1278"/>
    <x v="1"/>
    <x v="5"/>
    <x v="2"/>
    <n v="4"/>
    <n v="1947"/>
    <n v="7788"/>
    <x v="0"/>
    <x v="14"/>
  </r>
  <r>
    <x v="550"/>
    <x v="296"/>
    <s v="CUST1335"/>
    <x v="3"/>
    <x v="1"/>
    <x v="0"/>
    <n v="10"/>
    <n v="55247"/>
    <n v="552470"/>
    <x v="0"/>
    <x v="1"/>
  </r>
  <r>
    <x v="551"/>
    <x v="297"/>
    <s v="CUST1129"/>
    <x v="0"/>
    <x v="5"/>
    <x v="2"/>
    <n v="6"/>
    <n v="1658"/>
    <n v="9948"/>
    <x v="0"/>
    <x v="6"/>
  </r>
  <r>
    <x v="552"/>
    <x v="298"/>
    <s v="CUST1104"/>
    <x v="2"/>
    <x v="9"/>
    <x v="4"/>
    <n v="6"/>
    <n v="511"/>
    <n v="3066"/>
    <x v="2"/>
    <x v="14"/>
  </r>
  <r>
    <x v="553"/>
    <x v="220"/>
    <s v="CUST1157"/>
    <x v="0"/>
    <x v="2"/>
    <x v="1"/>
    <n v="3"/>
    <n v="1168"/>
    <n v="3504"/>
    <x v="0"/>
    <x v="11"/>
  </r>
  <r>
    <x v="554"/>
    <x v="205"/>
    <s v="CUST1228"/>
    <x v="3"/>
    <x v="9"/>
    <x v="4"/>
    <n v="3"/>
    <n v="535"/>
    <n v="1605"/>
    <x v="0"/>
    <x v="10"/>
  </r>
  <r>
    <x v="555"/>
    <x v="162"/>
    <s v="CUST1314"/>
    <x v="0"/>
    <x v="13"/>
    <x v="3"/>
    <n v="4"/>
    <n v="7011"/>
    <n v="28044"/>
    <x v="1"/>
    <x v="2"/>
  </r>
  <r>
    <x v="556"/>
    <x v="94"/>
    <s v="CUST1074"/>
    <x v="0"/>
    <x v="7"/>
    <x v="0"/>
    <n v="7"/>
    <n v="27322"/>
    <n v="191254"/>
    <x v="0"/>
    <x v="13"/>
  </r>
  <r>
    <x v="557"/>
    <x v="127"/>
    <s v="CUST1019"/>
    <x v="2"/>
    <x v="10"/>
    <x v="4"/>
    <n v="2"/>
    <n v="1143"/>
    <n v="2286"/>
    <x v="0"/>
    <x v="2"/>
  </r>
  <r>
    <x v="558"/>
    <x v="31"/>
    <s v="CUST1089"/>
    <x v="1"/>
    <x v="9"/>
    <x v="4"/>
    <n v="9"/>
    <n v="478"/>
    <n v="4302"/>
    <x v="2"/>
    <x v="8"/>
  </r>
  <r>
    <x v="559"/>
    <x v="295"/>
    <s v="CUST1261"/>
    <x v="1"/>
    <x v="7"/>
    <x v="0"/>
    <n v="9"/>
    <n v="23930"/>
    <n v="215370"/>
    <x v="0"/>
    <x v="12"/>
  </r>
  <r>
    <x v="560"/>
    <x v="288"/>
    <s v="CUST1044"/>
    <x v="0"/>
    <x v="11"/>
    <x v="1"/>
    <n v="1"/>
    <n v="2429"/>
    <n v="2429"/>
    <x v="0"/>
    <x v="6"/>
  </r>
  <r>
    <x v="561"/>
    <x v="27"/>
    <s v="CUST1035"/>
    <x v="2"/>
    <x v="4"/>
    <x v="2"/>
    <n v="7"/>
    <n v="3433"/>
    <n v="24031"/>
    <x v="0"/>
    <x v="3"/>
  </r>
  <r>
    <x v="562"/>
    <x v="40"/>
    <s v="CUST1115"/>
    <x v="3"/>
    <x v="4"/>
    <x v="2"/>
    <n v="9"/>
    <n v="3790"/>
    <n v="34110"/>
    <x v="0"/>
    <x v="11"/>
  </r>
  <r>
    <x v="563"/>
    <x v="15"/>
    <s v="CUST1054"/>
    <x v="2"/>
    <x v="12"/>
    <x v="4"/>
    <n v="10"/>
    <n v="1621"/>
    <n v="16210"/>
    <x v="0"/>
    <x v="12"/>
  </r>
  <r>
    <x v="564"/>
    <x v="191"/>
    <s v="CUST1294"/>
    <x v="3"/>
    <x v="5"/>
    <x v="2"/>
    <n v="2"/>
    <n v="1909"/>
    <n v="3818"/>
    <x v="2"/>
    <x v="6"/>
  </r>
  <r>
    <x v="565"/>
    <x v="10"/>
    <s v="CUST1348"/>
    <x v="0"/>
    <x v="9"/>
    <x v="4"/>
    <n v="8"/>
    <n v="526"/>
    <n v="4208"/>
    <x v="0"/>
    <x v="13"/>
  </r>
  <r>
    <x v="566"/>
    <x v="282"/>
    <s v="CUST1346"/>
    <x v="2"/>
    <x v="15"/>
    <x v="0"/>
    <n v="2"/>
    <n v="7612"/>
    <n v="15224"/>
    <x v="0"/>
    <x v="2"/>
  </r>
  <r>
    <x v="567"/>
    <x v="161"/>
    <s v="CUST1127"/>
    <x v="3"/>
    <x v="5"/>
    <x v="2"/>
    <n v="6"/>
    <n v="1805"/>
    <n v="10830"/>
    <x v="0"/>
    <x v="6"/>
  </r>
  <r>
    <x v="568"/>
    <x v="24"/>
    <s v="CUST1111"/>
    <x v="3"/>
    <x v="3"/>
    <x v="2"/>
    <n v="9"/>
    <n v="869"/>
    <n v="7821"/>
    <x v="0"/>
    <x v="3"/>
  </r>
  <r>
    <x v="569"/>
    <x v="79"/>
    <s v="CUST1135"/>
    <x v="0"/>
    <x v="6"/>
    <x v="3"/>
    <n v="4"/>
    <n v="8998"/>
    <n v="35992"/>
    <x v="0"/>
    <x v="1"/>
  </r>
  <r>
    <x v="570"/>
    <x v="201"/>
    <s v="CUST1346"/>
    <x v="3"/>
    <x v="6"/>
    <x v="3"/>
    <n v="6"/>
    <n v="8380"/>
    <n v="50280"/>
    <x v="0"/>
    <x v="8"/>
  </r>
  <r>
    <x v="571"/>
    <x v="93"/>
    <s v="CUST1140"/>
    <x v="1"/>
    <x v="1"/>
    <x v="0"/>
    <n v="8"/>
    <n v="53583"/>
    <n v="428664"/>
    <x v="0"/>
    <x v="13"/>
  </r>
  <r>
    <x v="572"/>
    <x v="299"/>
    <s v="CUST1269"/>
    <x v="3"/>
    <x v="2"/>
    <x v="1"/>
    <n v="7"/>
    <n v="1133"/>
    <n v="7931"/>
    <x v="0"/>
    <x v="10"/>
  </r>
  <r>
    <x v="573"/>
    <x v="118"/>
    <s v="CUST1234"/>
    <x v="1"/>
    <x v="11"/>
    <x v="1"/>
    <n v="9"/>
    <n v="2423"/>
    <n v="21807"/>
    <x v="1"/>
    <x v="0"/>
  </r>
  <r>
    <x v="574"/>
    <x v="167"/>
    <s v="CUST1051"/>
    <x v="0"/>
    <x v="12"/>
    <x v="4"/>
    <n v="1"/>
    <n v="1624"/>
    <n v="1624"/>
    <x v="0"/>
    <x v="7"/>
  </r>
  <r>
    <x v="575"/>
    <x v="252"/>
    <s v="CUST1175"/>
    <x v="1"/>
    <x v="3"/>
    <x v="2"/>
    <n v="9"/>
    <n v="762"/>
    <n v="6858"/>
    <x v="0"/>
    <x v="7"/>
  </r>
  <r>
    <x v="576"/>
    <x v="28"/>
    <s v="CUST1143"/>
    <x v="3"/>
    <x v="10"/>
    <x v="4"/>
    <n v="7"/>
    <n v="1248"/>
    <n v="8736"/>
    <x v="0"/>
    <x v="13"/>
  </r>
  <r>
    <x v="577"/>
    <x v="300"/>
    <s v="CUST1284"/>
    <x v="3"/>
    <x v="6"/>
    <x v="3"/>
    <n v="4"/>
    <n v="9565"/>
    <n v="38260"/>
    <x v="0"/>
    <x v="14"/>
  </r>
  <r>
    <x v="578"/>
    <x v="74"/>
    <s v="CUST1255"/>
    <x v="2"/>
    <x v="13"/>
    <x v="3"/>
    <n v="3"/>
    <n v="6962"/>
    <n v="20886"/>
    <x v="0"/>
    <x v="9"/>
  </r>
  <r>
    <x v="579"/>
    <x v="200"/>
    <s v="CUST1290"/>
    <x v="2"/>
    <x v="8"/>
    <x v="1"/>
    <n v="6"/>
    <n v="1585"/>
    <n v="9510"/>
    <x v="0"/>
    <x v="4"/>
  </r>
  <r>
    <x v="580"/>
    <x v="85"/>
    <s v="CUST1049"/>
    <x v="1"/>
    <x v="13"/>
    <x v="3"/>
    <n v="4"/>
    <n v="7439"/>
    <n v="29756"/>
    <x v="0"/>
    <x v="13"/>
  </r>
  <r>
    <x v="581"/>
    <x v="113"/>
    <s v="CUST1176"/>
    <x v="0"/>
    <x v="5"/>
    <x v="2"/>
    <n v="6"/>
    <n v="1821"/>
    <n v="10926"/>
    <x v="2"/>
    <x v="4"/>
  </r>
  <r>
    <x v="582"/>
    <x v="237"/>
    <s v="CUST1275"/>
    <x v="1"/>
    <x v="4"/>
    <x v="2"/>
    <n v="10"/>
    <n v="3289"/>
    <n v="32890"/>
    <x v="0"/>
    <x v="9"/>
  </r>
  <r>
    <x v="583"/>
    <x v="60"/>
    <s v="CUST1040"/>
    <x v="2"/>
    <x v="5"/>
    <x v="2"/>
    <n v="6"/>
    <n v="1862"/>
    <n v="11172"/>
    <x v="0"/>
    <x v="14"/>
  </r>
  <r>
    <x v="584"/>
    <x v="228"/>
    <s v="CUST1215"/>
    <x v="0"/>
    <x v="9"/>
    <x v="4"/>
    <n v="3"/>
    <n v="536"/>
    <n v="1608"/>
    <x v="0"/>
    <x v="8"/>
  </r>
  <r>
    <x v="585"/>
    <x v="301"/>
    <s v="CUST1334"/>
    <x v="0"/>
    <x v="10"/>
    <x v="4"/>
    <n v="2"/>
    <n v="1118"/>
    <n v="2236"/>
    <x v="0"/>
    <x v="6"/>
  </r>
  <r>
    <x v="586"/>
    <x v="134"/>
    <s v="CUST1300"/>
    <x v="0"/>
    <x v="8"/>
    <x v="1"/>
    <n v="7"/>
    <n v="1431"/>
    <n v="10017"/>
    <x v="0"/>
    <x v="12"/>
  </r>
  <r>
    <x v="587"/>
    <x v="300"/>
    <s v="CUST1338"/>
    <x v="2"/>
    <x v="10"/>
    <x v="4"/>
    <n v="3"/>
    <n v="1285"/>
    <n v="3855"/>
    <x v="0"/>
    <x v="6"/>
  </r>
  <r>
    <x v="588"/>
    <x v="302"/>
    <s v="CUST1280"/>
    <x v="2"/>
    <x v="7"/>
    <x v="0"/>
    <n v="3"/>
    <n v="24485"/>
    <n v="73455"/>
    <x v="0"/>
    <x v="4"/>
  </r>
  <r>
    <x v="589"/>
    <x v="214"/>
    <s v="CUST1335"/>
    <x v="3"/>
    <x v="9"/>
    <x v="4"/>
    <n v="2"/>
    <n v="460"/>
    <n v="920"/>
    <x v="0"/>
    <x v="3"/>
  </r>
  <r>
    <x v="590"/>
    <x v="84"/>
    <s v="CUST1067"/>
    <x v="2"/>
    <x v="3"/>
    <x v="2"/>
    <n v="4"/>
    <n v="838"/>
    <n v="3352"/>
    <x v="0"/>
    <x v="12"/>
  </r>
  <r>
    <x v="591"/>
    <x v="119"/>
    <s v="CUST1239"/>
    <x v="2"/>
    <x v="1"/>
    <x v="0"/>
    <n v="6"/>
    <n v="58964"/>
    <n v="353784"/>
    <x v="0"/>
    <x v="5"/>
  </r>
  <r>
    <x v="592"/>
    <x v="16"/>
    <s v="CUST1090"/>
    <x v="1"/>
    <x v="4"/>
    <x v="2"/>
    <n v="8"/>
    <n v="3244"/>
    <n v="25952"/>
    <x v="2"/>
    <x v="11"/>
  </r>
  <r>
    <x v="593"/>
    <x v="303"/>
    <s v="CUST1246"/>
    <x v="0"/>
    <x v="2"/>
    <x v="1"/>
    <n v="9"/>
    <n v="1233"/>
    <n v="11097"/>
    <x v="0"/>
    <x v="12"/>
  </r>
  <r>
    <x v="594"/>
    <x v="304"/>
    <s v="CUST1005"/>
    <x v="3"/>
    <x v="15"/>
    <x v="0"/>
    <n v="5"/>
    <n v="7785"/>
    <n v="38925"/>
    <x v="0"/>
    <x v="4"/>
  </r>
  <r>
    <x v="595"/>
    <x v="243"/>
    <s v="CUST1244"/>
    <x v="1"/>
    <x v="14"/>
    <x v="3"/>
    <n v="5"/>
    <n v="11926"/>
    <n v="59630"/>
    <x v="0"/>
    <x v="6"/>
  </r>
  <r>
    <x v="596"/>
    <x v="20"/>
    <s v="CUST1096"/>
    <x v="3"/>
    <x v="12"/>
    <x v="4"/>
    <n v="10"/>
    <n v="1703"/>
    <n v="17030"/>
    <x v="0"/>
    <x v="14"/>
  </r>
  <r>
    <x v="597"/>
    <x v="63"/>
    <s v="CUST1193"/>
    <x v="2"/>
    <x v="12"/>
    <x v="4"/>
    <n v="4"/>
    <n v="1678"/>
    <n v="6712"/>
    <x v="0"/>
    <x v="1"/>
  </r>
  <r>
    <x v="598"/>
    <x v="252"/>
    <s v="CUST1139"/>
    <x v="3"/>
    <x v="9"/>
    <x v="4"/>
    <n v="4"/>
    <n v="501"/>
    <n v="2004"/>
    <x v="0"/>
    <x v="6"/>
  </r>
  <r>
    <x v="599"/>
    <x v="305"/>
    <s v="CUST1148"/>
    <x v="0"/>
    <x v="2"/>
    <x v="1"/>
    <n v="7"/>
    <n v="1125"/>
    <n v="7875"/>
    <x v="0"/>
    <x v="0"/>
  </r>
  <r>
    <x v="600"/>
    <x v="276"/>
    <s v="CUST1009"/>
    <x v="0"/>
    <x v="2"/>
    <x v="1"/>
    <n v="5"/>
    <n v="1248"/>
    <n v="6240"/>
    <x v="0"/>
    <x v="9"/>
  </r>
  <r>
    <x v="601"/>
    <x v="84"/>
    <s v="CUST1224"/>
    <x v="3"/>
    <x v="11"/>
    <x v="1"/>
    <n v="3"/>
    <n v="2736"/>
    <n v="8208"/>
    <x v="0"/>
    <x v="2"/>
  </r>
  <r>
    <x v="602"/>
    <x v="71"/>
    <s v="CUST1255"/>
    <x v="3"/>
    <x v="7"/>
    <x v="0"/>
    <n v="1"/>
    <n v="24967"/>
    <n v="24967"/>
    <x v="0"/>
    <x v="7"/>
  </r>
  <r>
    <x v="603"/>
    <x v="239"/>
    <s v="CUST1136"/>
    <x v="1"/>
    <x v="0"/>
    <x v="0"/>
    <n v="2"/>
    <n v="3206"/>
    <n v="6412"/>
    <x v="2"/>
    <x v="10"/>
  </r>
  <r>
    <x v="604"/>
    <x v="232"/>
    <s v="CUST1006"/>
    <x v="1"/>
    <x v="2"/>
    <x v="1"/>
    <n v="3"/>
    <n v="1126"/>
    <n v="3378"/>
    <x v="1"/>
    <x v="0"/>
  </r>
  <r>
    <x v="605"/>
    <x v="306"/>
    <s v="CUST1235"/>
    <x v="2"/>
    <x v="14"/>
    <x v="3"/>
    <n v="8"/>
    <n v="11393"/>
    <n v="91144"/>
    <x v="2"/>
    <x v="2"/>
  </r>
  <r>
    <x v="606"/>
    <x v="71"/>
    <s v="CUST1165"/>
    <x v="2"/>
    <x v="8"/>
    <x v="1"/>
    <n v="4"/>
    <n v="1491"/>
    <n v="5964"/>
    <x v="0"/>
    <x v="9"/>
  </r>
  <r>
    <x v="607"/>
    <x v="212"/>
    <s v="CUST1026"/>
    <x v="0"/>
    <x v="1"/>
    <x v="0"/>
    <n v="5"/>
    <n v="54793"/>
    <n v="273965"/>
    <x v="0"/>
    <x v="5"/>
  </r>
  <r>
    <x v="608"/>
    <x v="40"/>
    <s v="CUST1299"/>
    <x v="0"/>
    <x v="7"/>
    <x v="0"/>
    <n v="7"/>
    <n v="24122"/>
    <n v="168854"/>
    <x v="0"/>
    <x v="0"/>
  </r>
  <r>
    <x v="609"/>
    <x v="307"/>
    <s v="CUST1305"/>
    <x v="1"/>
    <x v="13"/>
    <x v="3"/>
    <n v="1"/>
    <n v="7113"/>
    <n v="7113"/>
    <x v="0"/>
    <x v="9"/>
  </r>
  <r>
    <x v="610"/>
    <x v="123"/>
    <s v="CUST1320"/>
    <x v="1"/>
    <x v="7"/>
    <x v="0"/>
    <n v="3"/>
    <n v="24999"/>
    <n v="74997"/>
    <x v="0"/>
    <x v="4"/>
  </r>
  <r>
    <x v="611"/>
    <x v="308"/>
    <s v="CUST1162"/>
    <x v="3"/>
    <x v="6"/>
    <x v="3"/>
    <n v="9"/>
    <n v="9524"/>
    <n v="85716"/>
    <x v="0"/>
    <x v="12"/>
  </r>
  <r>
    <x v="612"/>
    <x v="173"/>
    <s v="CUST1128"/>
    <x v="2"/>
    <x v="5"/>
    <x v="2"/>
    <n v="4"/>
    <n v="1627"/>
    <n v="6508"/>
    <x v="0"/>
    <x v="3"/>
  </r>
  <r>
    <x v="613"/>
    <x v="208"/>
    <s v="CUST1095"/>
    <x v="3"/>
    <x v="9"/>
    <x v="4"/>
    <n v="5"/>
    <n v="504"/>
    <n v="2520"/>
    <x v="0"/>
    <x v="12"/>
  </r>
  <r>
    <x v="614"/>
    <x v="99"/>
    <s v="CUST1271"/>
    <x v="3"/>
    <x v="12"/>
    <x v="4"/>
    <n v="10"/>
    <n v="1949"/>
    <n v="19490"/>
    <x v="0"/>
    <x v="9"/>
  </r>
  <r>
    <x v="615"/>
    <x v="15"/>
    <s v="CUST1194"/>
    <x v="1"/>
    <x v="4"/>
    <x v="2"/>
    <n v="6"/>
    <n v="3467"/>
    <n v="20802"/>
    <x v="1"/>
    <x v="2"/>
  </r>
  <r>
    <x v="616"/>
    <x v="294"/>
    <s v="CUST1275"/>
    <x v="3"/>
    <x v="0"/>
    <x v="0"/>
    <n v="10"/>
    <n v="2843"/>
    <n v="28430"/>
    <x v="0"/>
    <x v="5"/>
  </r>
  <r>
    <x v="617"/>
    <x v="285"/>
    <s v="CUST1165"/>
    <x v="1"/>
    <x v="8"/>
    <x v="1"/>
    <n v="8"/>
    <n v="1579"/>
    <n v="12632"/>
    <x v="0"/>
    <x v="14"/>
  </r>
  <r>
    <x v="618"/>
    <x v="124"/>
    <s v="CUST1091"/>
    <x v="0"/>
    <x v="1"/>
    <x v="0"/>
    <n v="9"/>
    <n v="56747"/>
    <n v="510723"/>
    <x v="0"/>
    <x v="5"/>
  </r>
  <r>
    <x v="619"/>
    <x v="154"/>
    <s v="CUST1336"/>
    <x v="3"/>
    <x v="15"/>
    <x v="0"/>
    <n v="4"/>
    <n v="7358"/>
    <n v="29432"/>
    <x v="0"/>
    <x v="13"/>
  </r>
  <r>
    <x v="620"/>
    <x v="309"/>
    <s v="CUST1006"/>
    <x v="1"/>
    <x v="2"/>
    <x v="1"/>
    <n v="1"/>
    <n v="1167"/>
    <n v="1167"/>
    <x v="0"/>
    <x v="3"/>
  </r>
  <r>
    <x v="621"/>
    <x v="273"/>
    <s v="CUST1212"/>
    <x v="2"/>
    <x v="10"/>
    <x v="4"/>
    <n v="8"/>
    <n v="1272"/>
    <n v="10176"/>
    <x v="0"/>
    <x v="5"/>
  </r>
  <r>
    <x v="622"/>
    <x v="304"/>
    <s v="CUST1039"/>
    <x v="1"/>
    <x v="0"/>
    <x v="0"/>
    <n v="9"/>
    <n v="2724"/>
    <n v="24516"/>
    <x v="0"/>
    <x v="1"/>
  </r>
  <r>
    <x v="623"/>
    <x v="164"/>
    <s v="CUST1336"/>
    <x v="2"/>
    <x v="1"/>
    <x v="0"/>
    <n v="4"/>
    <n v="55348"/>
    <n v="221392"/>
    <x v="0"/>
    <x v="1"/>
  </r>
  <r>
    <x v="624"/>
    <x v="310"/>
    <s v="CUST1295"/>
    <x v="0"/>
    <x v="6"/>
    <x v="3"/>
    <n v="9"/>
    <n v="8847"/>
    <n v="79623"/>
    <x v="0"/>
    <x v="7"/>
  </r>
  <r>
    <x v="625"/>
    <x v="311"/>
    <s v="CUST1172"/>
    <x v="0"/>
    <x v="10"/>
    <x v="4"/>
    <n v="3"/>
    <n v="1270"/>
    <n v="3810"/>
    <x v="0"/>
    <x v="8"/>
  </r>
  <r>
    <x v="626"/>
    <x v="129"/>
    <s v="CUST1190"/>
    <x v="3"/>
    <x v="2"/>
    <x v="1"/>
    <n v="6"/>
    <n v="1296"/>
    <n v="7776"/>
    <x v="0"/>
    <x v="14"/>
  </r>
  <r>
    <x v="627"/>
    <x v="222"/>
    <s v="CUST1192"/>
    <x v="2"/>
    <x v="9"/>
    <x v="4"/>
    <n v="6"/>
    <n v="510"/>
    <n v="3060"/>
    <x v="0"/>
    <x v="10"/>
  </r>
  <r>
    <x v="628"/>
    <x v="198"/>
    <s v="CUST1145"/>
    <x v="0"/>
    <x v="5"/>
    <x v="2"/>
    <n v="8"/>
    <n v="1781"/>
    <n v="14248"/>
    <x v="0"/>
    <x v="11"/>
  </r>
  <r>
    <x v="629"/>
    <x v="33"/>
    <s v="CUST1011"/>
    <x v="3"/>
    <x v="14"/>
    <x v="3"/>
    <n v="1"/>
    <n v="11520"/>
    <n v="11520"/>
    <x v="0"/>
    <x v="10"/>
  </r>
  <r>
    <x v="630"/>
    <x v="312"/>
    <s v="CUST1048"/>
    <x v="2"/>
    <x v="4"/>
    <x v="2"/>
    <n v="9"/>
    <n v="3539"/>
    <n v="31851"/>
    <x v="1"/>
    <x v="4"/>
  </r>
  <r>
    <x v="631"/>
    <x v="308"/>
    <s v="CUST1131"/>
    <x v="1"/>
    <x v="13"/>
    <x v="3"/>
    <n v="5"/>
    <n v="6813"/>
    <n v="34065"/>
    <x v="0"/>
    <x v="10"/>
  </r>
  <r>
    <x v="632"/>
    <x v="129"/>
    <s v="CUST1247"/>
    <x v="3"/>
    <x v="2"/>
    <x v="1"/>
    <n v="10"/>
    <n v="1300"/>
    <n v="13000"/>
    <x v="0"/>
    <x v="9"/>
  </r>
  <r>
    <x v="633"/>
    <x v="253"/>
    <s v="CUST1195"/>
    <x v="1"/>
    <x v="11"/>
    <x v="1"/>
    <n v="10"/>
    <n v="2571"/>
    <n v="25710"/>
    <x v="0"/>
    <x v="0"/>
  </r>
  <r>
    <x v="634"/>
    <x v="209"/>
    <s v="CUST1334"/>
    <x v="2"/>
    <x v="5"/>
    <x v="2"/>
    <n v="7"/>
    <n v="1769"/>
    <n v="12383"/>
    <x v="0"/>
    <x v="5"/>
  </r>
  <r>
    <x v="635"/>
    <x v="16"/>
    <s v="CUST1289"/>
    <x v="0"/>
    <x v="15"/>
    <x v="0"/>
    <n v="1"/>
    <n v="7687"/>
    <n v="7687"/>
    <x v="0"/>
    <x v="9"/>
  </r>
  <r>
    <x v="636"/>
    <x v="60"/>
    <s v="CUST1304"/>
    <x v="3"/>
    <x v="13"/>
    <x v="3"/>
    <n v="1"/>
    <n v="7243"/>
    <n v="7243"/>
    <x v="2"/>
    <x v="11"/>
  </r>
  <r>
    <x v="637"/>
    <x v="228"/>
    <s v="CUST1042"/>
    <x v="1"/>
    <x v="14"/>
    <x v="3"/>
    <n v="5"/>
    <n v="12687"/>
    <n v="63435"/>
    <x v="0"/>
    <x v="13"/>
  </r>
  <r>
    <x v="638"/>
    <x v="247"/>
    <s v="CUST1066"/>
    <x v="0"/>
    <x v="15"/>
    <x v="0"/>
    <n v="5"/>
    <n v="7336"/>
    <n v="36680"/>
    <x v="0"/>
    <x v="10"/>
  </r>
  <r>
    <x v="639"/>
    <x v="200"/>
    <s v="CUST1315"/>
    <x v="3"/>
    <x v="11"/>
    <x v="1"/>
    <n v="8"/>
    <n v="2447"/>
    <n v="19576"/>
    <x v="0"/>
    <x v="2"/>
  </r>
  <r>
    <x v="640"/>
    <x v="93"/>
    <s v="CUST1045"/>
    <x v="1"/>
    <x v="13"/>
    <x v="3"/>
    <n v="5"/>
    <n v="7387"/>
    <n v="36935"/>
    <x v="0"/>
    <x v="0"/>
  </r>
  <r>
    <x v="641"/>
    <x v="57"/>
    <s v="CUST1012"/>
    <x v="0"/>
    <x v="12"/>
    <x v="4"/>
    <n v="6"/>
    <n v="1688"/>
    <n v="10128"/>
    <x v="0"/>
    <x v="10"/>
  </r>
  <r>
    <x v="642"/>
    <x v="308"/>
    <s v="CUST1102"/>
    <x v="3"/>
    <x v="4"/>
    <x v="2"/>
    <n v="8"/>
    <n v="3586"/>
    <n v="28688"/>
    <x v="0"/>
    <x v="8"/>
  </r>
  <r>
    <x v="643"/>
    <x v="313"/>
    <s v="CUST1147"/>
    <x v="1"/>
    <x v="1"/>
    <x v="0"/>
    <n v="1"/>
    <n v="52173"/>
    <n v="52173"/>
    <x v="0"/>
    <x v="4"/>
  </r>
  <r>
    <x v="644"/>
    <x v="191"/>
    <s v="CUST1108"/>
    <x v="3"/>
    <x v="0"/>
    <x v="0"/>
    <n v="8"/>
    <n v="2982"/>
    <n v="23856"/>
    <x v="0"/>
    <x v="1"/>
  </r>
  <r>
    <x v="645"/>
    <x v="95"/>
    <s v="CUST1342"/>
    <x v="1"/>
    <x v="4"/>
    <x v="2"/>
    <n v="8"/>
    <n v="3586"/>
    <n v="28688"/>
    <x v="2"/>
    <x v="4"/>
  </r>
  <r>
    <x v="646"/>
    <x v="62"/>
    <s v="CUST1316"/>
    <x v="1"/>
    <x v="11"/>
    <x v="1"/>
    <n v="5"/>
    <n v="2335"/>
    <n v="11675"/>
    <x v="0"/>
    <x v="6"/>
  </r>
  <r>
    <x v="647"/>
    <x v="294"/>
    <s v="CUST1184"/>
    <x v="3"/>
    <x v="1"/>
    <x v="0"/>
    <n v="7"/>
    <n v="56764"/>
    <n v="397348"/>
    <x v="0"/>
    <x v="5"/>
  </r>
  <r>
    <x v="648"/>
    <x v="166"/>
    <s v="CUST1050"/>
    <x v="3"/>
    <x v="4"/>
    <x v="2"/>
    <n v="7"/>
    <n v="3311"/>
    <n v="23177"/>
    <x v="0"/>
    <x v="3"/>
  </r>
  <r>
    <x v="649"/>
    <x v="10"/>
    <s v="CUST1287"/>
    <x v="3"/>
    <x v="8"/>
    <x v="1"/>
    <n v="2"/>
    <n v="1405"/>
    <n v="2810"/>
    <x v="0"/>
    <x v="3"/>
  </r>
  <r>
    <x v="650"/>
    <x v="288"/>
    <s v="CUST1009"/>
    <x v="0"/>
    <x v="7"/>
    <x v="0"/>
    <n v="9"/>
    <n v="24024"/>
    <n v="216216"/>
    <x v="0"/>
    <x v="7"/>
  </r>
  <r>
    <x v="651"/>
    <x v="264"/>
    <s v="CUST1141"/>
    <x v="0"/>
    <x v="4"/>
    <x v="2"/>
    <n v="5"/>
    <n v="3315"/>
    <n v="16575"/>
    <x v="2"/>
    <x v="10"/>
  </r>
  <r>
    <x v="652"/>
    <x v="114"/>
    <s v="CUST1077"/>
    <x v="3"/>
    <x v="5"/>
    <x v="2"/>
    <n v="1"/>
    <n v="1959"/>
    <n v="1959"/>
    <x v="1"/>
    <x v="7"/>
  </r>
  <r>
    <x v="653"/>
    <x v="314"/>
    <s v="CUST1116"/>
    <x v="2"/>
    <x v="13"/>
    <x v="3"/>
    <n v="7"/>
    <n v="7029"/>
    <n v="49203"/>
    <x v="0"/>
    <x v="14"/>
  </r>
  <r>
    <x v="654"/>
    <x v="30"/>
    <s v="CUST1067"/>
    <x v="3"/>
    <x v="14"/>
    <x v="3"/>
    <n v="5"/>
    <n v="12983"/>
    <n v="64915"/>
    <x v="0"/>
    <x v="1"/>
  </r>
  <r>
    <x v="655"/>
    <x v="41"/>
    <s v="CUST1268"/>
    <x v="0"/>
    <x v="8"/>
    <x v="1"/>
    <n v="4"/>
    <n v="1608"/>
    <n v="6432"/>
    <x v="0"/>
    <x v="3"/>
  </r>
  <r>
    <x v="656"/>
    <x v="273"/>
    <s v="CUST1272"/>
    <x v="3"/>
    <x v="6"/>
    <x v="3"/>
    <n v="10"/>
    <n v="9750"/>
    <n v="97500"/>
    <x v="0"/>
    <x v="2"/>
  </r>
  <r>
    <x v="657"/>
    <x v="315"/>
    <s v="CUST1210"/>
    <x v="3"/>
    <x v="3"/>
    <x v="2"/>
    <n v="1"/>
    <n v="842"/>
    <n v="842"/>
    <x v="0"/>
    <x v="6"/>
  </r>
  <r>
    <x v="658"/>
    <x v="252"/>
    <s v="CUST1315"/>
    <x v="1"/>
    <x v="3"/>
    <x v="2"/>
    <n v="4"/>
    <n v="737"/>
    <n v="2948"/>
    <x v="0"/>
    <x v="6"/>
  </r>
  <r>
    <x v="659"/>
    <x v="109"/>
    <s v="CUST1040"/>
    <x v="0"/>
    <x v="11"/>
    <x v="1"/>
    <n v="10"/>
    <n v="2366"/>
    <n v="23660"/>
    <x v="0"/>
    <x v="2"/>
  </r>
  <r>
    <x v="660"/>
    <x v="199"/>
    <s v="CUST1198"/>
    <x v="2"/>
    <x v="6"/>
    <x v="3"/>
    <n v="10"/>
    <n v="8943"/>
    <n v="89430"/>
    <x v="0"/>
    <x v="13"/>
  </r>
  <r>
    <x v="661"/>
    <x v="27"/>
    <s v="CUST1138"/>
    <x v="1"/>
    <x v="13"/>
    <x v="3"/>
    <n v="4"/>
    <n v="6345"/>
    <n v="25380"/>
    <x v="1"/>
    <x v="14"/>
  </r>
  <r>
    <x v="662"/>
    <x v="316"/>
    <s v="CUST1315"/>
    <x v="3"/>
    <x v="13"/>
    <x v="3"/>
    <n v="2"/>
    <n v="6547"/>
    <n v="13094"/>
    <x v="2"/>
    <x v="13"/>
  </r>
  <r>
    <x v="663"/>
    <x v="67"/>
    <s v="CUST1160"/>
    <x v="0"/>
    <x v="10"/>
    <x v="4"/>
    <n v="7"/>
    <n v="1177"/>
    <n v="8239"/>
    <x v="0"/>
    <x v="14"/>
  </r>
  <r>
    <x v="664"/>
    <x v="46"/>
    <s v="CUST1266"/>
    <x v="0"/>
    <x v="8"/>
    <x v="1"/>
    <n v="9"/>
    <n v="1507"/>
    <n v="13563"/>
    <x v="2"/>
    <x v="0"/>
  </r>
  <r>
    <x v="665"/>
    <x v="92"/>
    <s v="CUST1285"/>
    <x v="1"/>
    <x v="7"/>
    <x v="0"/>
    <n v="9"/>
    <n v="25189"/>
    <n v="226701"/>
    <x v="2"/>
    <x v="14"/>
  </r>
  <r>
    <x v="666"/>
    <x v="185"/>
    <s v="CUST1236"/>
    <x v="1"/>
    <x v="7"/>
    <x v="0"/>
    <n v="5"/>
    <n v="24697"/>
    <n v="123485"/>
    <x v="1"/>
    <x v="9"/>
  </r>
  <r>
    <x v="667"/>
    <x v="139"/>
    <s v="CUST1231"/>
    <x v="1"/>
    <x v="11"/>
    <x v="1"/>
    <n v="9"/>
    <n v="2701"/>
    <n v="24309"/>
    <x v="0"/>
    <x v="0"/>
  </r>
  <r>
    <x v="668"/>
    <x v="305"/>
    <s v="CUST1201"/>
    <x v="0"/>
    <x v="7"/>
    <x v="0"/>
    <n v="10"/>
    <n v="27189"/>
    <n v="271890"/>
    <x v="0"/>
    <x v="14"/>
  </r>
  <r>
    <x v="669"/>
    <x v="192"/>
    <s v="CUST1232"/>
    <x v="3"/>
    <x v="7"/>
    <x v="0"/>
    <n v="8"/>
    <n v="25451"/>
    <n v="203608"/>
    <x v="0"/>
    <x v="0"/>
  </r>
  <r>
    <x v="670"/>
    <x v="211"/>
    <s v="CUST1185"/>
    <x v="3"/>
    <x v="6"/>
    <x v="3"/>
    <n v="2"/>
    <n v="8264"/>
    <n v="16528"/>
    <x v="0"/>
    <x v="0"/>
  </r>
  <r>
    <x v="671"/>
    <x v="162"/>
    <s v="CUST1194"/>
    <x v="1"/>
    <x v="9"/>
    <x v="4"/>
    <n v="9"/>
    <n v="511"/>
    <n v="4599"/>
    <x v="0"/>
    <x v="4"/>
  </r>
  <r>
    <x v="672"/>
    <x v="317"/>
    <s v="CUST1026"/>
    <x v="2"/>
    <x v="4"/>
    <x v="2"/>
    <n v="3"/>
    <n v="3263"/>
    <n v="9789"/>
    <x v="0"/>
    <x v="14"/>
  </r>
  <r>
    <x v="673"/>
    <x v="192"/>
    <s v="CUST1001"/>
    <x v="3"/>
    <x v="12"/>
    <x v="4"/>
    <n v="3"/>
    <n v="1662"/>
    <n v="4986"/>
    <x v="0"/>
    <x v="11"/>
  </r>
  <r>
    <x v="674"/>
    <x v="184"/>
    <s v="CUST1311"/>
    <x v="2"/>
    <x v="15"/>
    <x v="0"/>
    <n v="8"/>
    <n v="8568"/>
    <n v="68544"/>
    <x v="0"/>
    <x v="3"/>
  </r>
  <r>
    <x v="675"/>
    <x v="318"/>
    <s v="CUST1307"/>
    <x v="1"/>
    <x v="6"/>
    <x v="3"/>
    <n v="8"/>
    <n v="8916"/>
    <n v="71328"/>
    <x v="0"/>
    <x v="4"/>
  </r>
  <r>
    <x v="676"/>
    <x v="245"/>
    <s v="CUST1025"/>
    <x v="3"/>
    <x v="2"/>
    <x v="1"/>
    <n v="10"/>
    <n v="1230"/>
    <n v="12300"/>
    <x v="0"/>
    <x v="9"/>
  </r>
  <r>
    <x v="677"/>
    <x v="136"/>
    <s v="CUST1152"/>
    <x v="3"/>
    <x v="3"/>
    <x v="2"/>
    <n v="3"/>
    <n v="856"/>
    <n v="2568"/>
    <x v="0"/>
    <x v="7"/>
  </r>
  <r>
    <x v="678"/>
    <x v="144"/>
    <s v="CUST1312"/>
    <x v="2"/>
    <x v="1"/>
    <x v="0"/>
    <n v="7"/>
    <n v="60431"/>
    <n v="423017"/>
    <x v="0"/>
    <x v="8"/>
  </r>
  <r>
    <x v="679"/>
    <x v="137"/>
    <s v="CUST1184"/>
    <x v="0"/>
    <x v="8"/>
    <x v="1"/>
    <n v="9"/>
    <n v="1403"/>
    <n v="12627"/>
    <x v="0"/>
    <x v="3"/>
  </r>
  <r>
    <x v="680"/>
    <x v="268"/>
    <s v="CUST1281"/>
    <x v="3"/>
    <x v="5"/>
    <x v="2"/>
    <n v="6"/>
    <n v="1943"/>
    <n v="11658"/>
    <x v="0"/>
    <x v="0"/>
  </r>
  <r>
    <x v="681"/>
    <x v="287"/>
    <s v="CUST1107"/>
    <x v="3"/>
    <x v="13"/>
    <x v="3"/>
    <n v="5"/>
    <n v="6760"/>
    <n v="33800"/>
    <x v="0"/>
    <x v="11"/>
  </r>
  <r>
    <x v="682"/>
    <x v="307"/>
    <s v="CUST1309"/>
    <x v="3"/>
    <x v="8"/>
    <x v="1"/>
    <n v="9"/>
    <n v="1646"/>
    <n v="14814"/>
    <x v="0"/>
    <x v="3"/>
  </r>
  <r>
    <x v="683"/>
    <x v="93"/>
    <s v="CUST1319"/>
    <x v="2"/>
    <x v="5"/>
    <x v="2"/>
    <n v="10"/>
    <n v="1925"/>
    <n v="19250"/>
    <x v="0"/>
    <x v="7"/>
  </r>
  <r>
    <x v="684"/>
    <x v="248"/>
    <s v="CUST1092"/>
    <x v="2"/>
    <x v="8"/>
    <x v="1"/>
    <n v="8"/>
    <n v="1505"/>
    <n v="12040"/>
    <x v="0"/>
    <x v="3"/>
  </r>
  <r>
    <x v="685"/>
    <x v="263"/>
    <s v="CUST1106"/>
    <x v="0"/>
    <x v="3"/>
    <x v="2"/>
    <n v="1"/>
    <n v="738"/>
    <n v="738"/>
    <x v="0"/>
    <x v="10"/>
  </r>
  <r>
    <x v="686"/>
    <x v="310"/>
    <s v="CUST1108"/>
    <x v="0"/>
    <x v="12"/>
    <x v="4"/>
    <n v="1"/>
    <n v="1740"/>
    <n v="1740"/>
    <x v="0"/>
    <x v="4"/>
  </r>
  <r>
    <x v="687"/>
    <x v="96"/>
    <s v="CUST1003"/>
    <x v="0"/>
    <x v="5"/>
    <x v="2"/>
    <n v="2"/>
    <n v="1730"/>
    <n v="3460"/>
    <x v="0"/>
    <x v="0"/>
  </r>
  <r>
    <x v="688"/>
    <x v="118"/>
    <s v="CUST1099"/>
    <x v="0"/>
    <x v="5"/>
    <x v="2"/>
    <n v="10"/>
    <n v="1841"/>
    <n v="18410"/>
    <x v="0"/>
    <x v="7"/>
  </r>
  <r>
    <x v="689"/>
    <x v="72"/>
    <s v="CUST1235"/>
    <x v="2"/>
    <x v="12"/>
    <x v="4"/>
    <n v="1"/>
    <n v="1852"/>
    <n v="1852"/>
    <x v="0"/>
    <x v="3"/>
  </r>
  <r>
    <x v="690"/>
    <x v="51"/>
    <s v="CUST1153"/>
    <x v="2"/>
    <x v="5"/>
    <x v="2"/>
    <n v="7"/>
    <n v="1954"/>
    <n v="13678"/>
    <x v="0"/>
    <x v="11"/>
  </r>
  <r>
    <x v="691"/>
    <x v="22"/>
    <s v="CUST1181"/>
    <x v="0"/>
    <x v="4"/>
    <x v="2"/>
    <n v="9"/>
    <n v="3163"/>
    <n v="28467"/>
    <x v="0"/>
    <x v="0"/>
  </r>
  <r>
    <x v="692"/>
    <x v="233"/>
    <s v="CUST1292"/>
    <x v="2"/>
    <x v="3"/>
    <x v="2"/>
    <n v="6"/>
    <n v="877"/>
    <n v="5262"/>
    <x v="0"/>
    <x v="11"/>
  </r>
  <r>
    <x v="693"/>
    <x v="319"/>
    <s v="CUST1139"/>
    <x v="1"/>
    <x v="11"/>
    <x v="1"/>
    <n v="5"/>
    <n v="2602"/>
    <n v="13010"/>
    <x v="0"/>
    <x v="14"/>
  </r>
  <r>
    <x v="694"/>
    <x v="259"/>
    <s v="CUST1154"/>
    <x v="3"/>
    <x v="14"/>
    <x v="3"/>
    <n v="8"/>
    <n v="12790"/>
    <n v="102320"/>
    <x v="0"/>
    <x v="9"/>
  </r>
  <r>
    <x v="695"/>
    <x v="215"/>
    <s v="CUST1256"/>
    <x v="3"/>
    <x v="7"/>
    <x v="0"/>
    <n v="2"/>
    <n v="24718"/>
    <n v="49436"/>
    <x v="0"/>
    <x v="9"/>
  </r>
  <r>
    <x v="696"/>
    <x v="151"/>
    <s v="CUST1264"/>
    <x v="3"/>
    <x v="9"/>
    <x v="4"/>
    <n v="9"/>
    <n v="481"/>
    <n v="4329"/>
    <x v="0"/>
    <x v="8"/>
  </r>
  <r>
    <x v="697"/>
    <x v="75"/>
    <s v="CUST1059"/>
    <x v="2"/>
    <x v="6"/>
    <x v="3"/>
    <n v="1"/>
    <n v="8926"/>
    <n v="8926"/>
    <x v="0"/>
    <x v="4"/>
  </r>
  <r>
    <x v="698"/>
    <x v="51"/>
    <s v="CUST1337"/>
    <x v="3"/>
    <x v="1"/>
    <x v="0"/>
    <n v="6"/>
    <n v="54635"/>
    <n v="327810"/>
    <x v="0"/>
    <x v="2"/>
  </r>
  <r>
    <x v="699"/>
    <x v="40"/>
    <s v="CUST1272"/>
    <x v="3"/>
    <x v="2"/>
    <x v="1"/>
    <n v="4"/>
    <n v="1157"/>
    <n v="4628"/>
    <x v="0"/>
    <x v="7"/>
  </r>
  <r>
    <x v="700"/>
    <x v="65"/>
    <s v="CUST1286"/>
    <x v="2"/>
    <x v="0"/>
    <x v="0"/>
    <n v="3"/>
    <n v="2794"/>
    <n v="8382"/>
    <x v="0"/>
    <x v="12"/>
  </r>
  <r>
    <x v="701"/>
    <x v="132"/>
    <s v="CUST1145"/>
    <x v="3"/>
    <x v="2"/>
    <x v="1"/>
    <n v="9"/>
    <n v="1156"/>
    <n v="10404"/>
    <x v="0"/>
    <x v="11"/>
  </r>
  <r>
    <x v="702"/>
    <x v="172"/>
    <s v="CUST1066"/>
    <x v="3"/>
    <x v="0"/>
    <x v="0"/>
    <n v="10"/>
    <n v="3235"/>
    <n v="32350"/>
    <x v="0"/>
    <x v="4"/>
  </r>
  <r>
    <x v="703"/>
    <x v="49"/>
    <s v="CUST1305"/>
    <x v="1"/>
    <x v="1"/>
    <x v="0"/>
    <n v="7"/>
    <n v="50091"/>
    <n v="350637"/>
    <x v="0"/>
    <x v="3"/>
  </r>
  <r>
    <x v="704"/>
    <x v="261"/>
    <s v="CUST1273"/>
    <x v="0"/>
    <x v="9"/>
    <x v="4"/>
    <n v="6"/>
    <n v="481"/>
    <n v="2886"/>
    <x v="1"/>
    <x v="0"/>
  </r>
  <r>
    <x v="705"/>
    <x v="247"/>
    <s v="CUST1239"/>
    <x v="2"/>
    <x v="9"/>
    <x v="4"/>
    <n v="3"/>
    <n v="459"/>
    <n v="1377"/>
    <x v="0"/>
    <x v="0"/>
  </r>
  <r>
    <x v="706"/>
    <x v="53"/>
    <s v="CUST1132"/>
    <x v="1"/>
    <x v="12"/>
    <x v="4"/>
    <n v="4"/>
    <n v="1961"/>
    <n v="7844"/>
    <x v="0"/>
    <x v="3"/>
  </r>
  <r>
    <x v="707"/>
    <x v="6"/>
    <s v="CUST1249"/>
    <x v="1"/>
    <x v="6"/>
    <x v="3"/>
    <n v="6"/>
    <n v="9519"/>
    <n v="57114"/>
    <x v="1"/>
    <x v="4"/>
  </r>
  <r>
    <x v="708"/>
    <x v="283"/>
    <s v="CUST1309"/>
    <x v="3"/>
    <x v="0"/>
    <x v="0"/>
    <n v="8"/>
    <n v="2976"/>
    <n v="23808"/>
    <x v="0"/>
    <x v="11"/>
  </r>
  <r>
    <x v="709"/>
    <x v="83"/>
    <s v="CUST1272"/>
    <x v="3"/>
    <x v="15"/>
    <x v="0"/>
    <n v="2"/>
    <n v="7721"/>
    <n v="15442"/>
    <x v="0"/>
    <x v="13"/>
  </r>
  <r>
    <x v="710"/>
    <x v="148"/>
    <s v="CUST1196"/>
    <x v="1"/>
    <x v="10"/>
    <x v="4"/>
    <n v="10"/>
    <n v="1138"/>
    <n v="11380"/>
    <x v="0"/>
    <x v="0"/>
  </r>
  <r>
    <x v="711"/>
    <x v="95"/>
    <s v="CUST1120"/>
    <x v="3"/>
    <x v="2"/>
    <x v="1"/>
    <n v="7"/>
    <n v="1216"/>
    <n v="8512"/>
    <x v="0"/>
    <x v="9"/>
  </r>
  <r>
    <x v="712"/>
    <x v="29"/>
    <s v="CUST1049"/>
    <x v="0"/>
    <x v="15"/>
    <x v="0"/>
    <n v="2"/>
    <n v="8147"/>
    <n v="16294"/>
    <x v="0"/>
    <x v="5"/>
  </r>
  <r>
    <x v="713"/>
    <x v="147"/>
    <s v="CUST1194"/>
    <x v="1"/>
    <x v="5"/>
    <x v="2"/>
    <n v="2"/>
    <n v="1835"/>
    <n v="3670"/>
    <x v="0"/>
    <x v="7"/>
  </r>
  <r>
    <x v="714"/>
    <x v="110"/>
    <s v="CUST1000"/>
    <x v="1"/>
    <x v="1"/>
    <x v="0"/>
    <n v="4"/>
    <n v="58487"/>
    <n v="233948"/>
    <x v="1"/>
    <x v="10"/>
  </r>
  <r>
    <x v="715"/>
    <x v="60"/>
    <s v="CUST1100"/>
    <x v="3"/>
    <x v="14"/>
    <x v="3"/>
    <n v="9"/>
    <n v="11499"/>
    <n v="103491"/>
    <x v="0"/>
    <x v="1"/>
  </r>
  <r>
    <x v="716"/>
    <x v="105"/>
    <s v="CUST1176"/>
    <x v="0"/>
    <x v="5"/>
    <x v="2"/>
    <n v="10"/>
    <n v="1905"/>
    <n v="19050"/>
    <x v="0"/>
    <x v="0"/>
  </r>
  <r>
    <x v="717"/>
    <x v="141"/>
    <s v="CUST1189"/>
    <x v="0"/>
    <x v="8"/>
    <x v="1"/>
    <n v="7"/>
    <n v="1604"/>
    <n v="11228"/>
    <x v="1"/>
    <x v="3"/>
  </r>
  <r>
    <x v="718"/>
    <x v="285"/>
    <s v="CUST1015"/>
    <x v="1"/>
    <x v="1"/>
    <x v="0"/>
    <n v="9"/>
    <n v="58528"/>
    <n v="526752"/>
    <x v="0"/>
    <x v="1"/>
  </r>
  <r>
    <x v="719"/>
    <x v="105"/>
    <s v="CUST1279"/>
    <x v="1"/>
    <x v="2"/>
    <x v="1"/>
    <n v="6"/>
    <n v="1250"/>
    <n v="7500"/>
    <x v="0"/>
    <x v="1"/>
  </r>
  <r>
    <x v="720"/>
    <x v="212"/>
    <s v="CUST1213"/>
    <x v="0"/>
    <x v="10"/>
    <x v="4"/>
    <n v="4"/>
    <n v="1213"/>
    <n v="4852"/>
    <x v="1"/>
    <x v="9"/>
  </r>
  <r>
    <x v="721"/>
    <x v="104"/>
    <s v="CUST1336"/>
    <x v="3"/>
    <x v="13"/>
    <x v="3"/>
    <n v="1"/>
    <n v="6400"/>
    <n v="6400"/>
    <x v="0"/>
    <x v="14"/>
  </r>
  <r>
    <x v="722"/>
    <x v="269"/>
    <s v="CUST1309"/>
    <x v="2"/>
    <x v="13"/>
    <x v="3"/>
    <n v="3"/>
    <n v="7199"/>
    <n v="21597"/>
    <x v="0"/>
    <x v="3"/>
  </r>
  <r>
    <x v="723"/>
    <x v="189"/>
    <s v="CUST1181"/>
    <x v="1"/>
    <x v="14"/>
    <x v="3"/>
    <n v="9"/>
    <n v="11817"/>
    <n v="106353"/>
    <x v="1"/>
    <x v="1"/>
  </r>
  <r>
    <x v="724"/>
    <x v="317"/>
    <s v="CUST1256"/>
    <x v="3"/>
    <x v="11"/>
    <x v="1"/>
    <n v="10"/>
    <n v="2499"/>
    <n v="24990"/>
    <x v="0"/>
    <x v="6"/>
  </r>
  <r>
    <x v="725"/>
    <x v="215"/>
    <s v="CUST1188"/>
    <x v="1"/>
    <x v="8"/>
    <x v="1"/>
    <n v="6"/>
    <n v="1360"/>
    <n v="8160"/>
    <x v="0"/>
    <x v="0"/>
  </r>
  <r>
    <x v="726"/>
    <x v="116"/>
    <s v="CUST1238"/>
    <x v="0"/>
    <x v="7"/>
    <x v="0"/>
    <n v="9"/>
    <n v="27417"/>
    <n v="246753"/>
    <x v="2"/>
    <x v="12"/>
  </r>
  <r>
    <x v="727"/>
    <x v="153"/>
    <s v="CUST1039"/>
    <x v="3"/>
    <x v="11"/>
    <x v="1"/>
    <n v="4"/>
    <n v="2486"/>
    <n v="9944"/>
    <x v="0"/>
    <x v="8"/>
  </r>
  <r>
    <x v="728"/>
    <x v="320"/>
    <s v="CUST1240"/>
    <x v="0"/>
    <x v="2"/>
    <x v="1"/>
    <n v="10"/>
    <n v="1092"/>
    <n v="10920"/>
    <x v="0"/>
    <x v="13"/>
  </r>
  <r>
    <x v="729"/>
    <x v="277"/>
    <s v="CUST1148"/>
    <x v="1"/>
    <x v="9"/>
    <x v="4"/>
    <n v="6"/>
    <n v="492"/>
    <n v="2952"/>
    <x v="2"/>
    <x v="9"/>
  </r>
  <r>
    <x v="730"/>
    <x v="141"/>
    <s v="CUST1322"/>
    <x v="3"/>
    <x v="8"/>
    <x v="1"/>
    <n v="5"/>
    <n v="1568"/>
    <n v="7840"/>
    <x v="0"/>
    <x v="13"/>
  </r>
  <r>
    <x v="731"/>
    <x v="185"/>
    <s v="CUST1248"/>
    <x v="0"/>
    <x v="11"/>
    <x v="1"/>
    <n v="5"/>
    <n v="2654"/>
    <n v="13270"/>
    <x v="0"/>
    <x v="0"/>
  </r>
  <r>
    <x v="732"/>
    <x v="113"/>
    <s v="CUST1007"/>
    <x v="3"/>
    <x v="0"/>
    <x v="0"/>
    <n v="5"/>
    <n v="2779"/>
    <n v="13895"/>
    <x v="0"/>
    <x v="2"/>
  </r>
  <r>
    <x v="733"/>
    <x v="118"/>
    <s v="CUST1133"/>
    <x v="3"/>
    <x v="6"/>
    <x v="3"/>
    <n v="3"/>
    <n v="9286"/>
    <n v="27858"/>
    <x v="0"/>
    <x v="10"/>
  </r>
  <r>
    <x v="734"/>
    <x v="214"/>
    <s v="CUST1074"/>
    <x v="0"/>
    <x v="10"/>
    <x v="4"/>
    <n v="9"/>
    <n v="1286"/>
    <n v="11574"/>
    <x v="0"/>
    <x v="11"/>
  </r>
  <r>
    <x v="735"/>
    <x v="217"/>
    <s v="CUST1326"/>
    <x v="2"/>
    <x v="14"/>
    <x v="3"/>
    <n v="7"/>
    <n v="12648"/>
    <n v="88536"/>
    <x v="0"/>
    <x v="9"/>
  </r>
  <r>
    <x v="736"/>
    <x v="70"/>
    <s v="CUST1237"/>
    <x v="3"/>
    <x v="3"/>
    <x v="2"/>
    <n v="5"/>
    <n v="840"/>
    <n v="4200"/>
    <x v="0"/>
    <x v="14"/>
  </r>
  <r>
    <x v="737"/>
    <x v="63"/>
    <s v="CUST1242"/>
    <x v="1"/>
    <x v="9"/>
    <x v="4"/>
    <n v="9"/>
    <n v="473"/>
    <n v="4257"/>
    <x v="0"/>
    <x v="6"/>
  </r>
  <r>
    <x v="738"/>
    <x v="160"/>
    <s v="CUST1161"/>
    <x v="3"/>
    <x v="10"/>
    <x v="4"/>
    <n v="5"/>
    <n v="1302"/>
    <n v="6510"/>
    <x v="0"/>
    <x v="12"/>
  </r>
  <r>
    <x v="739"/>
    <x v="165"/>
    <s v="CUST1312"/>
    <x v="0"/>
    <x v="1"/>
    <x v="0"/>
    <n v="9"/>
    <n v="56511"/>
    <n v="508599"/>
    <x v="2"/>
    <x v="3"/>
  </r>
  <r>
    <x v="740"/>
    <x v="57"/>
    <s v="CUST1299"/>
    <x v="0"/>
    <x v="5"/>
    <x v="2"/>
    <n v="5"/>
    <n v="1716"/>
    <n v="8580"/>
    <x v="0"/>
    <x v="14"/>
  </r>
  <r>
    <x v="741"/>
    <x v="0"/>
    <s v="CUST1092"/>
    <x v="1"/>
    <x v="6"/>
    <x v="3"/>
    <n v="10"/>
    <n v="9486"/>
    <n v="94860"/>
    <x v="0"/>
    <x v="7"/>
  </r>
  <r>
    <x v="742"/>
    <x v="168"/>
    <s v="CUST1228"/>
    <x v="1"/>
    <x v="1"/>
    <x v="0"/>
    <n v="1"/>
    <n v="54023"/>
    <n v="54023"/>
    <x v="0"/>
    <x v="7"/>
  </r>
  <r>
    <x v="743"/>
    <x v="31"/>
    <s v="CUST1304"/>
    <x v="3"/>
    <x v="5"/>
    <x v="2"/>
    <n v="4"/>
    <n v="1632"/>
    <n v="6528"/>
    <x v="0"/>
    <x v="8"/>
  </r>
  <r>
    <x v="744"/>
    <x v="122"/>
    <s v="CUST1066"/>
    <x v="2"/>
    <x v="6"/>
    <x v="3"/>
    <n v="2"/>
    <n v="9374"/>
    <n v="18748"/>
    <x v="0"/>
    <x v="14"/>
  </r>
  <r>
    <x v="745"/>
    <x v="13"/>
    <s v="CUST1338"/>
    <x v="0"/>
    <x v="11"/>
    <x v="1"/>
    <n v="2"/>
    <n v="2597"/>
    <n v="5194"/>
    <x v="0"/>
    <x v="3"/>
  </r>
  <r>
    <x v="746"/>
    <x v="96"/>
    <s v="CUST1131"/>
    <x v="3"/>
    <x v="12"/>
    <x v="4"/>
    <n v="7"/>
    <n v="1869"/>
    <n v="13083"/>
    <x v="0"/>
    <x v="9"/>
  </r>
  <r>
    <x v="747"/>
    <x v="78"/>
    <s v="CUST1135"/>
    <x v="2"/>
    <x v="3"/>
    <x v="2"/>
    <n v="7"/>
    <n v="782"/>
    <n v="5474"/>
    <x v="2"/>
    <x v="9"/>
  </r>
  <r>
    <x v="748"/>
    <x v="25"/>
    <s v="CUST1073"/>
    <x v="1"/>
    <x v="10"/>
    <x v="4"/>
    <n v="10"/>
    <n v="1174"/>
    <n v="11740"/>
    <x v="0"/>
    <x v="12"/>
  </r>
  <r>
    <x v="749"/>
    <x v="213"/>
    <s v="CUST1017"/>
    <x v="2"/>
    <x v="6"/>
    <x v="3"/>
    <n v="2"/>
    <n v="9742"/>
    <n v="19484"/>
    <x v="0"/>
    <x v="0"/>
  </r>
  <r>
    <x v="750"/>
    <x v="8"/>
    <s v="CUST1000"/>
    <x v="3"/>
    <x v="5"/>
    <x v="2"/>
    <n v="1"/>
    <n v="1942"/>
    <n v="1942"/>
    <x v="0"/>
    <x v="3"/>
  </r>
  <r>
    <x v="751"/>
    <x v="93"/>
    <s v="CUST1001"/>
    <x v="3"/>
    <x v="12"/>
    <x v="4"/>
    <n v="3"/>
    <n v="1872"/>
    <n v="5616"/>
    <x v="1"/>
    <x v="12"/>
  </r>
  <r>
    <x v="752"/>
    <x v="99"/>
    <s v="CUST1276"/>
    <x v="0"/>
    <x v="12"/>
    <x v="4"/>
    <n v="7"/>
    <n v="1765"/>
    <n v="12355"/>
    <x v="0"/>
    <x v="1"/>
  </r>
  <r>
    <x v="753"/>
    <x v="175"/>
    <s v="CUST1349"/>
    <x v="3"/>
    <x v="10"/>
    <x v="4"/>
    <n v="10"/>
    <n v="1208"/>
    <n v="12080"/>
    <x v="2"/>
    <x v="6"/>
  </r>
  <r>
    <x v="754"/>
    <x v="229"/>
    <s v="CUST1148"/>
    <x v="1"/>
    <x v="0"/>
    <x v="0"/>
    <n v="9"/>
    <n v="3212"/>
    <n v="28908"/>
    <x v="0"/>
    <x v="8"/>
  </r>
  <r>
    <x v="755"/>
    <x v="63"/>
    <s v="CUST1054"/>
    <x v="3"/>
    <x v="11"/>
    <x v="1"/>
    <n v="7"/>
    <n v="2580"/>
    <n v="18060"/>
    <x v="0"/>
    <x v="8"/>
  </r>
  <r>
    <x v="756"/>
    <x v="5"/>
    <s v="CUST1012"/>
    <x v="0"/>
    <x v="10"/>
    <x v="4"/>
    <n v="8"/>
    <n v="1256"/>
    <n v="10048"/>
    <x v="0"/>
    <x v="2"/>
  </r>
  <r>
    <x v="757"/>
    <x v="17"/>
    <s v="CUST1255"/>
    <x v="2"/>
    <x v="14"/>
    <x v="3"/>
    <n v="7"/>
    <n v="10951"/>
    <n v="76657"/>
    <x v="0"/>
    <x v="12"/>
  </r>
  <r>
    <x v="758"/>
    <x v="140"/>
    <s v="CUST1207"/>
    <x v="2"/>
    <x v="10"/>
    <x v="4"/>
    <n v="1"/>
    <n v="1161"/>
    <n v="1161"/>
    <x v="0"/>
    <x v="0"/>
  </r>
  <r>
    <x v="759"/>
    <x v="309"/>
    <s v="CUST1018"/>
    <x v="3"/>
    <x v="2"/>
    <x v="1"/>
    <n v="9"/>
    <n v="1115"/>
    <n v="10035"/>
    <x v="0"/>
    <x v="2"/>
  </r>
  <r>
    <x v="760"/>
    <x v="124"/>
    <s v="CUST1007"/>
    <x v="3"/>
    <x v="15"/>
    <x v="0"/>
    <n v="10"/>
    <n v="7273"/>
    <n v="72730"/>
    <x v="0"/>
    <x v="9"/>
  </r>
  <r>
    <x v="761"/>
    <x v="115"/>
    <s v="CUST1054"/>
    <x v="0"/>
    <x v="3"/>
    <x v="2"/>
    <n v="8"/>
    <n v="817"/>
    <n v="6536"/>
    <x v="1"/>
    <x v="0"/>
  </r>
  <r>
    <x v="762"/>
    <x v="160"/>
    <s v="CUST1205"/>
    <x v="1"/>
    <x v="11"/>
    <x v="1"/>
    <n v="2"/>
    <n v="2652"/>
    <n v="5304"/>
    <x v="0"/>
    <x v="7"/>
  </r>
  <r>
    <x v="763"/>
    <x v="222"/>
    <s v="CUST1023"/>
    <x v="3"/>
    <x v="8"/>
    <x v="1"/>
    <n v="3"/>
    <n v="1446"/>
    <n v="4338"/>
    <x v="2"/>
    <x v="11"/>
  </r>
  <r>
    <x v="764"/>
    <x v="62"/>
    <s v="CUST1189"/>
    <x v="3"/>
    <x v="1"/>
    <x v="0"/>
    <n v="5"/>
    <n v="51053"/>
    <n v="255265"/>
    <x v="0"/>
    <x v="12"/>
  </r>
  <r>
    <x v="765"/>
    <x v="321"/>
    <s v="CUST1313"/>
    <x v="3"/>
    <x v="6"/>
    <x v="3"/>
    <n v="1"/>
    <n v="8340"/>
    <n v="8340"/>
    <x v="0"/>
    <x v="14"/>
  </r>
  <r>
    <x v="766"/>
    <x v="272"/>
    <s v="CUST1333"/>
    <x v="2"/>
    <x v="15"/>
    <x v="0"/>
    <n v="2"/>
    <n v="7210"/>
    <n v="14420"/>
    <x v="0"/>
    <x v="11"/>
  </r>
  <r>
    <x v="767"/>
    <x v="8"/>
    <s v="CUST1138"/>
    <x v="2"/>
    <x v="9"/>
    <x v="4"/>
    <n v="8"/>
    <n v="519"/>
    <n v="4152"/>
    <x v="0"/>
    <x v="12"/>
  </r>
  <r>
    <x v="768"/>
    <x v="275"/>
    <s v="CUST1313"/>
    <x v="1"/>
    <x v="13"/>
    <x v="3"/>
    <n v="10"/>
    <n v="7268"/>
    <n v="72680"/>
    <x v="0"/>
    <x v="0"/>
  </r>
  <r>
    <x v="769"/>
    <x v="263"/>
    <s v="CUST1271"/>
    <x v="0"/>
    <x v="5"/>
    <x v="2"/>
    <n v="7"/>
    <n v="1621"/>
    <n v="11347"/>
    <x v="0"/>
    <x v="0"/>
  </r>
  <r>
    <x v="770"/>
    <x v="245"/>
    <s v="CUST1141"/>
    <x v="0"/>
    <x v="8"/>
    <x v="1"/>
    <n v="4"/>
    <n v="1489"/>
    <n v="5956"/>
    <x v="0"/>
    <x v="4"/>
  </r>
  <r>
    <x v="771"/>
    <x v="120"/>
    <s v="CUST1027"/>
    <x v="3"/>
    <x v="6"/>
    <x v="3"/>
    <n v="8"/>
    <n v="8995"/>
    <n v="71960"/>
    <x v="0"/>
    <x v="8"/>
  </r>
  <r>
    <x v="772"/>
    <x v="6"/>
    <s v="CUST1022"/>
    <x v="1"/>
    <x v="14"/>
    <x v="3"/>
    <n v="5"/>
    <n v="11602"/>
    <n v="58010"/>
    <x v="1"/>
    <x v="0"/>
  </r>
  <r>
    <x v="773"/>
    <x v="38"/>
    <s v="CUST1036"/>
    <x v="0"/>
    <x v="11"/>
    <x v="1"/>
    <n v="3"/>
    <n v="2642"/>
    <n v="7926"/>
    <x v="0"/>
    <x v="3"/>
  </r>
  <r>
    <x v="774"/>
    <x v="0"/>
    <s v="CUST1166"/>
    <x v="3"/>
    <x v="9"/>
    <x v="4"/>
    <n v="10"/>
    <n v="482"/>
    <n v="4820"/>
    <x v="0"/>
    <x v="1"/>
  </r>
  <r>
    <x v="775"/>
    <x v="112"/>
    <s v="CUST1192"/>
    <x v="2"/>
    <x v="3"/>
    <x v="2"/>
    <n v="2"/>
    <n v="757"/>
    <n v="1514"/>
    <x v="0"/>
    <x v="3"/>
  </r>
  <r>
    <x v="776"/>
    <x v="322"/>
    <s v="CUST1312"/>
    <x v="3"/>
    <x v="9"/>
    <x v="4"/>
    <n v="8"/>
    <n v="455"/>
    <n v="3640"/>
    <x v="0"/>
    <x v="13"/>
  </r>
  <r>
    <x v="777"/>
    <x v="266"/>
    <s v="CUST1103"/>
    <x v="3"/>
    <x v="3"/>
    <x v="2"/>
    <n v="8"/>
    <n v="835"/>
    <n v="6680"/>
    <x v="0"/>
    <x v="7"/>
  </r>
  <r>
    <x v="778"/>
    <x v="10"/>
    <s v="CUST1214"/>
    <x v="3"/>
    <x v="11"/>
    <x v="1"/>
    <n v="5"/>
    <n v="2318"/>
    <n v="11590"/>
    <x v="0"/>
    <x v="9"/>
  </r>
  <r>
    <x v="779"/>
    <x v="252"/>
    <s v="CUST1087"/>
    <x v="2"/>
    <x v="14"/>
    <x v="3"/>
    <n v="10"/>
    <n v="11176"/>
    <n v="111760"/>
    <x v="0"/>
    <x v="11"/>
  </r>
  <r>
    <x v="780"/>
    <x v="322"/>
    <s v="CUST1302"/>
    <x v="2"/>
    <x v="13"/>
    <x v="3"/>
    <n v="7"/>
    <n v="7499"/>
    <n v="52493"/>
    <x v="0"/>
    <x v="13"/>
  </r>
  <r>
    <x v="781"/>
    <x v="170"/>
    <s v="CUST1222"/>
    <x v="2"/>
    <x v="3"/>
    <x v="2"/>
    <n v="7"/>
    <n v="837"/>
    <n v="5859"/>
    <x v="0"/>
    <x v="11"/>
  </r>
  <r>
    <x v="782"/>
    <x v="120"/>
    <s v="CUST1020"/>
    <x v="3"/>
    <x v="11"/>
    <x v="1"/>
    <n v="10"/>
    <n v="2699"/>
    <n v="26990"/>
    <x v="0"/>
    <x v="13"/>
  </r>
  <r>
    <x v="783"/>
    <x v="62"/>
    <s v="CUST1050"/>
    <x v="0"/>
    <x v="11"/>
    <x v="1"/>
    <n v="7"/>
    <n v="2515"/>
    <n v="17605"/>
    <x v="0"/>
    <x v="13"/>
  </r>
  <r>
    <x v="784"/>
    <x v="187"/>
    <s v="CUST1122"/>
    <x v="1"/>
    <x v="1"/>
    <x v="0"/>
    <n v="7"/>
    <n v="59949"/>
    <n v="419643"/>
    <x v="0"/>
    <x v="8"/>
  </r>
  <r>
    <x v="785"/>
    <x v="23"/>
    <s v="CUST1298"/>
    <x v="2"/>
    <x v="15"/>
    <x v="0"/>
    <n v="5"/>
    <n v="7458"/>
    <n v="37290"/>
    <x v="0"/>
    <x v="4"/>
  </r>
  <r>
    <x v="786"/>
    <x v="314"/>
    <s v="CUST1237"/>
    <x v="2"/>
    <x v="10"/>
    <x v="4"/>
    <n v="7"/>
    <n v="1124"/>
    <n v="7868"/>
    <x v="0"/>
    <x v="2"/>
  </r>
  <r>
    <x v="787"/>
    <x v="266"/>
    <s v="CUST1313"/>
    <x v="0"/>
    <x v="15"/>
    <x v="0"/>
    <n v="6"/>
    <n v="8049"/>
    <n v="48294"/>
    <x v="0"/>
    <x v="12"/>
  </r>
  <r>
    <x v="788"/>
    <x v="239"/>
    <s v="CUST1263"/>
    <x v="0"/>
    <x v="6"/>
    <x v="3"/>
    <n v="2"/>
    <n v="9216"/>
    <n v="18432"/>
    <x v="0"/>
    <x v="3"/>
  </r>
  <r>
    <x v="789"/>
    <x v="174"/>
    <s v="CUST1187"/>
    <x v="0"/>
    <x v="1"/>
    <x v="0"/>
    <n v="7"/>
    <n v="53521"/>
    <n v="374647"/>
    <x v="0"/>
    <x v="9"/>
  </r>
  <r>
    <x v="790"/>
    <x v="267"/>
    <s v="CUST1332"/>
    <x v="0"/>
    <x v="7"/>
    <x v="0"/>
    <n v="3"/>
    <n v="27406"/>
    <n v="82218"/>
    <x v="0"/>
    <x v="13"/>
  </r>
  <r>
    <x v="791"/>
    <x v="276"/>
    <s v="CUST1180"/>
    <x v="0"/>
    <x v="8"/>
    <x v="1"/>
    <n v="4"/>
    <n v="1575"/>
    <n v="6300"/>
    <x v="0"/>
    <x v="3"/>
  </r>
  <r>
    <x v="792"/>
    <x v="64"/>
    <s v="CUST1256"/>
    <x v="3"/>
    <x v="12"/>
    <x v="4"/>
    <n v="1"/>
    <n v="1642"/>
    <n v="1642"/>
    <x v="0"/>
    <x v="12"/>
  </r>
  <r>
    <x v="793"/>
    <x v="226"/>
    <s v="CUST1231"/>
    <x v="2"/>
    <x v="9"/>
    <x v="4"/>
    <n v="9"/>
    <n v="517"/>
    <n v="4653"/>
    <x v="0"/>
    <x v="11"/>
  </r>
  <r>
    <x v="794"/>
    <x v="49"/>
    <s v="CUST1147"/>
    <x v="1"/>
    <x v="7"/>
    <x v="0"/>
    <n v="8"/>
    <n v="22936"/>
    <n v="183488"/>
    <x v="0"/>
    <x v="0"/>
  </r>
  <r>
    <x v="795"/>
    <x v="51"/>
    <s v="CUST1321"/>
    <x v="3"/>
    <x v="3"/>
    <x v="2"/>
    <n v="3"/>
    <n v="799"/>
    <n v="2397"/>
    <x v="0"/>
    <x v="4"/>
  </r>
  <r>
    <x v="796"/>
    <x v="139"/>
    <s v="CUST1010"/>
    <x v="3"/>
    <x v="11"/>
    <x v="1"/>
    <n v="8"/>
    <n v="2423"/>
    <n v="19384"/>
    <x v="0"/>
    <x v="6"/>
  </r>
  <r>
    <x v="797"/>
    <x v="323"/>
    <s v="CUST1335"/>
    <x v="3"/>
    <x v="7"/>
    <x v="0"/>
    <n v="9"/>
    <n v="25723"/>
    <n v="231507"/>
    <x v="0"/>
    <x v="8"/>
  </r>
  <r>
    <x v="798"/>
    <x v="304"/>
    <s v="CUST1290"/>
    <x v="2"/>
    <x v="9"/>
    <x v="4"/>
    <n v="9"/>
    <n v="534"/>
    <n v="4806"/>
    <x v="0"/>
    <x v="9"/>
  </r>
  <r>
    <x v="799"/>
    <x v="97"/>
    <s v="CUST1024"/>
    <x v="2"/>
    <x v="3"/>
    <x v="2"/>
    <n v="5"/>
    <n v="756"/>
    <n v="3780"/>
    <x v="0"/>
    <x v="9"/>
  </r>
  <r>
    <x v="800"/>
    <x v="185"/>
    <s v="CUST1093"/>
    <x v="1"/>
    <x v="10"/>
    <x v="4"/>
    <n v="10"/>
    <n v="1301"/>
    <n v="13010"/>
    <x v="0"/>
    <x v="9"/>
  </r>
  <r>
    <x v="801"/>
    <x v="93"/>
    <s v="CUST1064"/>
    <x v="2"/>
    <x v="13"/>
    <x v="3"/>
    <n v="4"/>
    <n v="6463"/>
    <n v="25852"/>
    <x v="2"/>
    <x v="13"/>
  </r>
  <r>
    <x v="802"/>
    <x v="81"/>
    <s v="CUST1075"/>
    <x v="3"/>
    <x v="13"/>
    <x v="3"/>
    <n v="9"/>
    <n v="7289"/>
    <n v="65601"/>
    <x v="0"/>
    <x v="7"/>
  </r>
  <r>
    <x v="803"/>
    <x v="275"/>
    <s v="CUST1074"/>
    <x v="1"/>
    <x v="6"/>
    <x v="3"/>
    <n v="5"/>
    <n v="8318"/>
    <n v="41590"/>
    <x v="0"/>
    <x v="13"/>
  </r>
  <r>
    <x v="804"/>
    <x v="41"/>
    <s v="CUST1151"/>
    <x v="2"/>
    <x v="13"/>
    <x v="3"/>
    <n v="9"/>
    <n v="7665"/>
    <n v="68985"/>
    <x v="0"/>
    <x v="13"/>
  </r>
  <r>
    <x v="805"/>
    <x v="182"/>
    <s v="CUST1173"/>
    <x v="2"/>
    <x v="8"/>
    <x v="1"/>
    <n v="3"/>
    <n v="1589"/>
    <n v="4767"/>
    <x v="0"/>
    <x v="2"/>
  </r>
  <r>
    <x v="806"/>
    <x v="280"/>
    <s v="CUST1205"/>
    <x v="3"/>
    <x v="10"/>
    <x v="4"/>
    <n v="3"/>
    <n v="1242"/>
    <n v="3726"/>
    <x v="0"/>
    <x v="11"/>
  </r>
  <r>
    <x v="807"/>
    <x v="135"/>
    <s v="CUST1298"/>
    <x v="2"/>
    <x v="12"/>
    <x v="4"/>
    <n v="2"/>
    <n v="1737"/>
    <n v="3474"/>
    <x v="0"/>
    <x v="12"/>
  </r>
  <r>
    <x v="808"/>
    <x v="0"/>
    <s v="CUST1343"/>
    <x v="3"/>
    <x v="3"/>
    <x v="2"/>
    <n v="1"/>
    <n v="733"/>
    <n v="733"/>
    <x v="0"/>
    <x v="0"/>
  </r>
  <r>
    <x v="809"/>
    <x v="239"/>
    <s v="CUST1341"/>
    <x v="2"/>
    <x v="10"/>
    <x v="4"/>
    <n v="8"/>
    <n v="1156"/>
    <n v="9248"/>
    <x v="0"/>
    <x v="7"/>
  </r>
  <r>
    <x v="810"/>
    <x v="145"/>
    <s v="CUST1157"/>
    <x v="1"/>
    <x v="12"/>
    <x v="4"/>
    <n v="7"/>
    <n v="1754"/>
    <n v="12278"/>
    <x v="0"/>
    <x v="13"/>
  </r>
  <r>
    <x v="811"/>
    <x v="182"/>
    <s v="CUST1147"/>
    <x v="2"/>
    <x v="7"/>
    <x v="0"/>
    <n v="8"/>
    <n v="26207"/>
    <n v="209656"/>
    <x v="0"/>
    <x v="9"/>
  </r>
  <r>
    <x v="812"/>
    <x v="188"/>
    <s v="CUST1073"/>
    <x v="2"/>
    <x v="9"/>
    <x v="4"/>
    <n v="7"/>
    <n v="463"/>
    <n v="3241"/>
    <x v="0"/>
    <x v="1"/>
  </r>
  <r>
    <x v="813"/>
    <x v="296"/>
    <s v="CUST1045"/>
    <x v="3"/>
    <x v="2"/>
    <x v="1"/>
    <n v="2"/>
    <n v="1303"/>
    <n v="2606"/>
    <x v="0"/>
    <x v="4"/>
  </r>
  <r>
    <x v="814"/>
    <x v="131"/>
    <s v="CUST1102"/>
    <x v="1"/>
    <x v="5"/>
    <x v="2"/>
    <n v="3"/>
    <n v="1820"/>
    <n v="5460"/>
    <x v="0"/>
    <x v="9"/>
  </r>
  <r>
    <x v="815"/>
    <x v="297"/>
    <s v="CUST1155"/>
    <x v="2"/>
    <x v="4"/>
    <x v="2"/>
    <n v="8"/>
    <n v="3179"/>
    <n v="25432"/>
    <x v="0"/>
    <x v="13"/>
  </r>
  <r>
    <x v="816"/>
    <x v="34"/>
    <s v="CUST1327"/>
    <x v="0"/>
    <x v="10"/>
    <x v="4"/>
    <n v="1"/>
    <n v="1269"/>
    <n v="1269"/>
    <x v="0"/>
    <x v="5"/>
  </r>
  <r>
    <x v="817"/>
    <x v="139"/>
    <s v="CUST1125"/>
    <x v="0"/>
    <x v="0"/>
    <x v="0"/>
    <n v="7"/>
    <n v="2807"/>
    <n v="19649"/>
    <x v="2"/>
    <x v="4"/>
  </r>
  <r>
    <x v="818"/>
    <x v="148"/>
    <s v="CUST1289"/>
    <x v="3"/>
    <x v="5"/>
    <x v="2"/>
    <n v="2"/>
    <n v="1835"/>
    <n v="3670"/>
    <x v="0"/>
    <x v="14"/>
  </r>
  <r>
    <x v="819"/>
    <x v="80"/>
    <s v="CUST1132"/>
    <x v="2"/>
    <x v="9"/>
    <x v="4"/>
    <n v="2"/>
    <n v="487"/>
    <n v="974"/>
    <x v="0"/>
    <x v="9"/>
  </r>
  <r>
    <x v="820"/>
    <x v="176"/>
    <s v="CUST1027"/>
    <x v="0"/>
    <x v="14"/>
    <x v="3"/>
    <n v="8"/>
    <n v="12907"/>
    <n v="103256"/>
    <x v="0"/>
    <x v="6"/>
  </r>
  <r>
    <x v="821"/>
    <x v="324"/>
    <s v="CUST1263"/>
    <x v="1"/>
    <x v="3"/>
    <x v="2"/>
    <n v="5"/>
    <n v="766"/>
    <n v="3830"/>
    <x v="0"/>
    <x v="1"/>
  </r>
  <r>
    <x v="822"/>
    <x v="33"/>
    <s v="CUST1154"/>
    <x v="2"/>
    <x v="13"/>
    <x v="3"/>
    <n v="10"/>
    <n v="7353"/>
    <n v="73530"/>
    <x v="0"/>
    <x v="6"/>
  </r>
  <r>
    <x v="823"/>
    <x v="258"/>
    <s v="CUST1070"/>
    <x v="0"/>
    <x v="3"/>
    <x v="2"/>
    <n v="9"/>
    <n v="812"/>
    <n v="7308"/>
    <x v="1"/>
    <x v="12"/>
  </r>
  <r>
    <x v="824"/>
    <x v="194"/>
    <s v="CUST1079"/>
    <x v="3"/>
    <x v="12"/>
    <x v="4"/>
    <n v="6"/>
    <n v="1951"/>
    <n v="11706"/>
    <x v="0"/>
    <x v="12"/>
  </r>
  <r>
    <x v="825"/>
    <x v="18"/>
    <s v="CUST1282"/>
    <x v="3"/>
    <x v="6"/>
    <x v="3"/>
    <n v="10"/>
    <n v="9341"/>
    <n v="93410"/>
    <x v="2"/>
    <x v="2"/>
  </r>
  <r>
    <x v="826"/>
    <x v="279"/>
    <s v="CUST1008"/>
    <x v="2"/>
    <x v="15"/>
    <x v="0"/>
    <n v="8"/>
    <n v="8665"/>
    <n v="69320"/>
    <x v="0"/>
    <x v="13"/>
  </r>
  <r>
    <x v="827"/>
    <x v="323"/>
    <s v="CUST1088"/>
    <x v="3"/>
    <x v="3"/>
    <x v="2"/>
    <n v="8"/>
    <n v="862"/>
    <n v="6896"/>
    <x v="0"/>
    <x v="2"/>
  </r>
  <r>
    <x v="828"/>
    <x v="209"/>
    <s v="CUST1157"/>
    <x v="3"/>
    <x v="7"/>
    <x v="0"/>
    <n v="3"/>
    <n v="26784"/>
    <n v="80352"/>
    <x v="0"/>
    <x v="9"/>
  </r>
  <r>
    <x v="829"/>
    <x v="255"/>
    <s v="CUST1021"/>
    <x v="3"/>
    <x v="15"/>
    <x v="0"/>
    <n v="2"/>
    <n v="7324"/>
    <n v="14648"/>
    <x v="0"/>
    <x v="1"/>
  </r>
  <r>
    <x v="830"/>
    <x v="120"/>
    <s v="CUST1033"/>
    <x v="3"/>
    <x v="8"/>
    <x v="1"/>
    <n v="1"/>
    <n v="1490"/>
    <n v="1490"/>
    <x v="1"/>
    <x v="6"/>
  </r>
  <r>
    <x v="831"/>
    <x v="199"/>
    <s v="CUST1343"/>
    <x v="0"/>
    <x v="1"/>
    <x v="0"/>
    <n v="10"/>
    <n v="51759"/>
    <n v="517590"/>
    <x v="2"/>
    <x v="7"/>
  </r>
  <r>
    <x v="832"/>
    <x v="325"/>
    <s v="CUST1256"/>
    <x v="3"/>
    <x v="6"/>
    <x v="3"/>
    <n v="5"/>
    <n v="9807"/>
    <n v="49035"/>
    <x v="0"/>
    <x v="10"/>
  </r>
  <r>
    <x v="833"/>
    <x v="27"/>
    <s v="CUST1270"/>
    <x v="0"/>
    <x v="6"/>
    <x v="3"/>
    <n v="10"/>
    <n v="8223"/>
    <n v="82230"/>
    <x v="1"/>
    <x v="1"/>
  </r>
  <r>
    <x v="834"/>
    <x v="222"/>
    <s v="CUST1258"/>
    <x v="0"/>
    <x v="3"/>
    <x v="2"/>
    <n v="9"/>
    <n v="720"/>
    <n v="6480"/>
    <x v="0"/>
    <x v="5"/>
  </r>
  <r>
    <x v="835"/>
    <x v="216"/>
    <s v="CUST1092"/>
    <x v="0"/>
    <x v="4"/>
    <x v="2"/>
    <n v="10"/>
    <n v="3279"/>
    <n v="32790"/>
    <x v="0"/>
    <x v="5"/>
  </r>
  <r>
    <x v="836"/>
    <x v="278"/>
    <s v="CUST1063"/>
    <x v="1"/>
    <x v="12"/>
    <x v="4"/>
    <n v="4"/>
    <n v="1805"/>
    <n v="7220"/>
    <x v="0"/>
    <x v="13"/>
  </r>
  <r>
    <x v="837"/>
    <x v="92"/>
    <s v="CUST1042"/>
    <x v="3"/>
    <x v="14"/>
    <x v="3"/>
    <n v="6"/>
    <n v="12491"/>
    <n v="74946"/>
    <x v="0"/>
    <x v="7"/>
  </r>
  <r>
    <x v="838"/>
    <x v="326"/>
    <s v="CUST1115"/>
    <x v="1"/>
    <x v="12"/>
    <x v="4"/>
    <n v="8"/>
    <n v="1836"/>
    <n v="14688"/>
    <x v="0"/>
    <x v="12"/>
  </r>
  <r>
    <x v="839"/>
    <x v="160"/>
    <s v="CUST1188"/>
    <x v="1"/>
    <x v="10"/>
    <x v="4"/>
    <n v="2"/>
    <n v="1294"/>
    <n v="2588"/>
    <x v="1"/>
    <x v="9"/>
  </r>
  <r>
    <x v="840"/>
    <x v="0"/>
    <s v="CUST1043"/>
    <x v="3"/>
    <x v="9"/>
    <x v="4"/>
    <n v="2"/>
    <n v="489"/>
    <n v="978"/>
    <x v="0"/>
    <x v="0"/>
  </r>
  <r>
    <x v="841"/>
    <x v="54"/>
    <s v="CUST1033"/>
    <x v="3"/>
    <x v="9"/>
    <x v="4"/>
    <n v="10"/>
    <n v="547"/>
    <n v="5470"/>
    <x v="0"/>
    <x v="7"/>
  </r>
  <r>
    <x v="842"/>
    <x v="308"/>
    <s v="CUST1217"/>
    <x v="2"/>
    <x v="3"/>
    <x v="2"/>
    <n v="10"/>
    <n v="855"/>
    <n v="8550"/>
    <x v="0"/>
    <x v="2"/>
  </r>
  <r>
    <x v="843"/>
    <x v="327"/>
    <s v="CUST1182"/>
    <x v="1"/>
    <x v="8"/>
    <x v="1"/>
    <n v="5"/>
    <n v="1576"/>
    <n v="7880"/>
    <x v="1"/>
    <x v="13"/>
  </r>
  <r>
    <x v="844"/>
    <x v="25"/>
    <s v="CUST1062"/>
    <x v="0"/>
    <x v="12"/>
    <x v="4"/>
    <n v="9"/>
    <n v="1720"/>
    <n v="15480"/>
    <x v="0"/>
    <x v="6"/>
  </r>
  <r>
    <x v="845"/>
    <x v="257"/>
    <s v="CUST1255"/>
    <x v="1"/>
    <x v="6"/>
    <x v="3"/>
    <n v="3"/>
    <n v="8153"/>
    <n v="24459"/>
    <x v="1"/>
    <x v="8"/>
  </r>
  <r>
    <x v="846"/>
    <x v="65"/>
    <s v="CUST1319"/>
    <x v="3"/>
    <x v="14"/>
    <x v="3"/>
    <n v="10"/>
    <n v="12430"/>
    <n v="124300"/>
    <x v="0"/>
    <x v="0"/>
  </r>
  <r>
    <x v="847"/>
    <x v="243"/>
    <s v="CUST1258"/>
    <x v="2"/>
    <x v="2"/>
    <x v="1"/>
    <n v="8"/>
    <n v="1128"/>
    <n v="9024"/>
    <x v="0"/>
    <x v="6"/>
  </r>
  <r>
    <x v="848"/>
    <x v="255"/>
    <s v="CUST1060"/>
    <x v="1"/>
    <x v="8"/>
    <x v="1"/>
    <n v="1"/>
    <n v="1635"/>
    <n v="1635"/>
    <x v="0"/>
    <x v="14"/>
  </r>
  <r>
    <x v="849"/>
    <x v="294"/>
    <s v="CUST1155"/>
    <x v="1"/>
    <x v="12"/>
    <x v="4"/>
    <n v="8"/>
    <n v="1632"/>
    <n v="13056"/>
    <x v="0"/>
    <x v="3"/>
  </r>
  <r>
    <x v="850"/>
    <x v="12"/>
    <s v="CUST1291"/>
    <x v="0"/>
    <x v="12"/>
    <x v="4"/>
    <n v="3"/>
    <n v="1732"/>
    <n v="5196"/>
    <x v="0"/>
    <x v="8"/>
  </r>
  <r>
    <x v="851"/>
    <x v="288"/>
    <s v="CUST1259"/>
    <x v="1"/>
    <x v="8"/>
    <x v="1"/>
    <n v="9"/>
    <n v="1521"/>
    <n v="13689"/>
    <x v="0"/>
    <x v="4"/>
  </r>
  <r>
    <x v="852"/>
    <x v="144"/>
    <s v="CUST1164"/>
    <x v="1"/>
    <x v="9"/>
    <x v="4"/>
    <n v="7"/>
    <n v="511"/>
    <n v="3577"/>
    <x v="0"/>
    <x v="4"/>
  </r>
  <r>
    <x v="853"/>
    <x v="1"/>
    <s v="CUST1320"/>
    <x v="3"/>
    <x v="7"/>
    <x v="0"/>
    <n v="6"/>
    <n v="24244"/>
    <n v="145464"/>
    <x v="0"/>
    <x v="7"/>
  </r>
  <r>
    <x v="854"/>
    <x v="328"/>
    <s v="CUST1126"/>
    <x v="1"/>
    <x v="12"/>
    <x v="4"/>
    <n v="6"/>
    <n v="1768"/>
    <n v="10608"/>
    <x v="0"/>
    <x v="1"/>
  </r>
  <r>
    <x v="855"/>
    <x v="54"/>
    <s v="CUST1010"/>
    <x v="0"/>
    <x v="11"/>
    <x v="1"/>
    <n v="2"/>
    <n v="2684"/>
    <n v="5368"/>
    <x v="0"/>
    <x v="12"/>
  </r>
  <r>
    <x v="856"/>
    <x v="91"/>
    <s v="CUST1010"/>
    <x v="3"/>
    <x v="9"/>
    <x v="4"/>
    <n v="7"/>
    <n v="506"/>
    <n v="3542"/>
    <x v="1"/>
    <x v="2"/>
  </r>
  <r>
    <x v="857"/>
    <x v="151"/>
    <s v="CUST1250"/>
    <x v="1"/>
    <x v="0"/>
    <x v="0"/>
    <n v="7"/>
    <n v="3042"/>
    <n v="21294"/>
    <x v="0"/>
    <x v="0"/>
  </r>
  <r>
    <x v="858"/>
    <x v="123"/>
    <s v="CUST1085"/>
    <x v="0"/>
    <x v="14"/>
    <x v="3"/>
    <n v="8"/>
    <n v="12006"/>
    <n v="96048"/>
    <x v="0"/>
    <x v="11"/>
  </r>
  <r>
    <x v="859"/>
    <x v="26"/>
    <s v="CUST1274"/>
    <x v="3"/>
    <x v="10"/>
    <x v="4"/>
    <n v="8"/>
    <n v="1232"/>
    <n v="9856"/>
    <x v="2"/>
    <x v="1"/>
  </r>
  <r>
    <x v="860"/>
    <x v="3"/>
    <s v="CUST1296"/>
    <x v="3"/>
    <x v="0"/>
    <x v="0"/>
    <n v="10"/>
    <n v="2941"/>
    <n v="29410"/>
    <x v="0"/>
    <x v="0"/>
  </r>
  <r>
    <x v="861"/>
    <x v="287"/>
    <s v="CUST1177"/>
    <x v="0"/>
    <x v="3"/>
    <x v="2"/>
    <n v="10"/>
    <n v="848"/>
    <n v="8480"/>
    <x v="0"/>
    <x v="10"/>
  </r>
  <r>
    <x v="862"/>
    <x v="112"/>
    <s v="CUST1212"/>
    <x v="3"/>
    <x v="4"/>
    <x v="2"/>
    <n v="5"/>
    <n v="3453"/>
    <n v="17265"/>
    <x v="0"/>
    <x v="14"/>
  </r>
  <r>
    <x v="863"/>
    <x v="132"/>
    <s v="CUST1264"/>
    <x v="3"/>
    <x v="2"/>
    <x v="1"/>
    <n v="9"/>
    <n v="1123"/>
    <n v="10107"/>
    <x v="0"/>
    <x v="5"/>
  </r>
  <r>
    <x v="864"/>
    <x v="284"/>
    <s v="CUST1222"/>
    <x v="3"/>
    <x v="10"/>
    <x v="4"/>
    <n v="8"/>
    <n v="1144"/>
    <n v="9152"/>
    <x v="0"/>
    <x v="3"/>
  </r>
  <r>
    <x v="865"/>
    <x v="168"/>
    <s v="CUST1153"/>
    <x v="0"/>
    <x v="7"/>
    <x v="0"/>
    <n v="6"/>
    <n v="24812"/>
    <n v="148872"/>
    <x v="0"/>
    <x v="5"/>
  </r>
  <r>
    <x v="866"/>
    <x v="185"/>
    <s v="CUST1330"/>
    <x v="1"/>
    <x v="3"/>
    <x v="2"/>
    <n v="4"/>
    <n v="855"/>
    <n v="3420"/>
    <x v="0"/>
    <x v="9"/>
  </r>
  <r>
    <x v="867"/>
    <x v="329"/>
    <s v="CUST1125"/>
    <x v="3"/>
    <x v="11"/>
    <x v="1"/>
    <n v="7"/>
    <n v="2369"/>
    <n v="16583"/>
    <x v="0"/>
    <x v="10"/>
  </r>
  <r>
    <x v="868"/>
    <x v="156"/>
    <s v="CUST1103"/>
    <x v="2"/>
    <x v="12"/>
    <x v="4"/>
    <n v="9"/>
    <n v="1976"/>
    <n v="17784"/>
    <x v="0"/>
    <x v="9"/>
  </r>
  <r>
    <x v="869"/>
    <x v="140"/>
    <s v="CUST1248"/>
    <x v="3"/>
    <x v="0"/>
    <x v="0"/>
    <n v="5"/>
    <n v="3095"/>
    <n v="15475"/>
    <x v="0"/>
    <x v="10"/>
  </r>
  <r>
    <x v="870"/>
    <x v="61"/>
    <s v="CUST1186"/>
    <x v="3"/>
    <x v="0"/>
    <x v="0"/>
    <n v="10"/>
    <n v="2878"/>
    <n v="28780"/>
    <x v="0"/>
    <x v="8"/>
  </r>
  <r>
    <x v="871"/>
    <x v="264"/>
    <s v="CUST1061"/>
    <x v="0"/>
    <x v="15"/>
    <x v="0"/>
    <n v="3"/>
    <n v="7577"/>
    <n v="22731"/>
    <x v="0"/>
    <x v="12"/>
  </r>
  <r>
    <x v="872"/>
    <x v="318"/>
    <s v="CUST1062"/>
    <x v="0"/>
    <x v="8"/>
    <x v="1"/>
    <n v="5"/>
    <n v="1498"/>
    <n v="7490"/>
    <x v="0"/>
    <x v="10"/>
  </r>
  <r>
    <x v="873"/>
    <x v="330"/>
    <s v="CUST1111"/>
    <x v="2"/>
    <x v="4"/>
    <x v="2"/>
    <n v="7"/>
    <n v="3714"/>
    <n v="25998"/>
    <x v="0"/>
    <x v="9"/>
  </r>
  <r>
    <x v="874"/>
    <x v="239"/>
    <s v="CUST1251"/>
    <x v="3"/>
    <x v="14"/>
    <x v="3"/>
    <n v="8"/>
    <n v="11780"/>
    <n v="94240"/>
    <x v="0"/>
    <x v="12"/>
  </r>
  <r>
    <x v="875"/>
    <x v="126"/>
    <s v="CUST1074"/>
    <x v="1"/>
    <x v="0"/>
    <x v="0"/>
    <n v="9"/>
    <n v="2954"/>
    <n v="26586"/>
    <x v="0"/>
    <x v="7"/>
  </r>
  <r>
    <x v="876"/>
    <x v="198"/>
    <s v="CUST1339"/>
    <x v="1"/>
    <x v="5"/>
    <x v="2"/>
    <n v="1"/>
    <n v="1852"/>
    <n v="1852"/>
    <x v="1"/>
    <x v="10"/>
  </r>
  <r>
    <x v="877"/>
    <x v="244"/>
    <s v="CUST1185"/>
    <x v="2"/>
    <x v="14"/>
    <x v="3"/>
    <n v="9"/>
    <n v="11723"/>
    <n v="105507"/>
    <x v="0"/>
    <x v="3"/>
  </r>
  <r>
    <x v="878"/>
    <x v="196"/>
    <s v="CUST1130"/>
    <x v="2"/>
    <x v="7"/>
    <x v="0"/>
    <n v="8"/>
    <n v="24442"/>
    <n v="195536"/>
    <x v="1"/>
    <x v="6"/>
  </r>
  <r>
    <x v="879"/>
    <x v="316"/>
    <s v="CUST1323"/>
    <x v="3"/>
    <x v="14"/>
    <x v="3"/>
    <n v="4"/>
    <n v="12862"/>
    <n v="51448"/>
    <x v="0"/>
    <x v="7"/>
  </r>
  <r>
    <x v="880"/>
    <x v="243"/>
    <s v="CUST1241"/>
    <x v="2"/>
    <x v="10"/>
    <x v="4"/>
    <n v="5"/>
    <n v="1287"/>
    <n v="6435"/>
    <x v="0"/>
    <x v="2"/>
  </r>
  <r>
    <x v="881"/>
    <x v="325"/>
    <s v="CUST1133"/>
    <x v="1"/>
    <x v="4"/>
    <x v="2"/>
    <n v="7"/>
    <n v="3763"/>
    <n v="26341"/>
    <x v="1"/>
    <x v="12"/>
  </r>
  <r>
    <x v="882"/>
    <x v="329"/>
    <s v="CUST1026"/>
    <x v="3"/>
    <x v="9"/>
    <x v="4"/>
    <n v="9"/>
    <n v="523"/>
    <n v="4707"/>
    <x v="0"/>
    <x v="8"/>
  </r>
  <r>
    <x v="883"/>
    <x v="290"/>
    <s v="CUST1160"/>
    <x v="0"/>
    <x v="9"/>
    <x v="4"/>
    <n v="3"/>
    <n v="450"/>
    <n v="1350"/>
    <x v="0"/>
    <x v="11"/>
  </r>
  <r>
    <x v="884"/>
    <x v="237"/>
    <s v="CUST1066"/>
    <x v="3"/>
    <x v="13"/>
    <x v="3"/>
    <n v="9"/>
    <n v="7298"/>
    <n v="65682"/>
    <x v="0"/>
    <x v="5"/>
  </r>
  <r>
    <x v="885"/>
    <x v="331"/>
    <s v="CUST1088"/>
    <x v="0"/>
    <x v="12"/>
    <x v="4"/>
    <n v="8"/>
    <n v="1792"/>
    <n v="14336"/>
    <x v="0"/>
    <x v="8"/>
  </r>
  <r>
    <x v="886"/>
    <x v="196"/>
    <s v="CUST1193"/>
    <x v="0"/>
    <x v="5"/>
    <x v="2"/>
    <n v="4"/>
    <n v="1650"/>
    <n v="6600"/>
    <x v="0"/>
    <x v="5"/>
  </r>
  <r>
    <x v="887"/>
    <x v="314"/>
    <s v="CUST1117"/>
    <x v="2"/>
    <x v="13"/>
    <x v="3"/>
    <n v="1"/>
    <n v="7592"/>
    <n v="7592"/>
    <x v="0"/>
    <x v="3"/>
  </r>
  <r>
    <x v="888"/>
    <x v="28"/>
    <s v="CUST1316"/>
    <x v="3"/>
    <x v="10"/>
    <x v="4"/>
    <n v="5"/>
    <n v="1248"/>
    <n v="6240"/>
    <x v="0"/>
    <x v="14"/>
  </r>
  <r>
    <x v="889"/>
    <x v="27"/>
    <s v="CUST1269"/>
    <x v="0"/>
    <x v="13"/>
    <x v="3"/>
    <n v="6"/>
    <n v="6538"/>
    <n v="39228"/>
    <x v="0"/>
    <x v="14"/>
  </r>
  <r>
    <x v="890"/>
    <x v="256"/>
    <s v="CUST1136"/>
    <x v="2"/>
    <x v="9"/>
    <x v="4"/>
    <n v="8"/>
    <n v="461"/>
    <n v="3688"/>
    <x v="0"/>
    <x v="6"/>
  </r>
  <r>
    <x v="891"/>
    <x v="285"/>
    <s v="CUST1346"/>
    <x v="0"/>
    <x v="10"/>
    <x v="4"/>
    <n v="7"/>
    <n v="1285"/>
    <n v="8995"/>
    <x v="0"/>
    <x v="1"/>
  </r>
  <r>
    <x v="892"/>
    <x v="210"/>
    <s v="CUST1230"/>
    <x v="1"/>
    <x v="10"/>
    <x v="4"/>
    <n v="1"/>
    <n v="1149"/>
    <n v="1149"/>
    <x v="0"/>
    <x v="3"/>
  </r>
  <r>
    <x v="893"/>
    <x v="96"/>
    <s v="CUST1203"/>
    <x v="3"/>
    <x v="8"/>
    <x v="1"/>
    <n v="8"/>
    <n v="1375"/>
    <n v="11000"/>
    <x v="0"/>
    <x v="8"/>
  </r>
  <r>
    <x v="894"/>
    <x v="332"/>
    <s v="CUST1285"/>
    <x v="3"/>
    <x v="9"/>
    <x v="4"/>
    <n v="7"/>
    <n v="523"/>
    <n v="3661"/>
    <x v="0"/>
    <x v="4"/>
  </r>
  <r>
    <x v="895"/>
    <x v="295"/>
    <s v="CUST1023"/>
    <x v="3"/>
    <x v="14"/>
    <x v="3"/>
    <n v="6"/>
    <n v="13192"/>
    <n v="79152"/>
    <x v="1"/>
    <x v="4"/>
  </r>
  <r>
    <x v="896"/>
    <x v="279"/>
    <s v="CUST1286"/>
    <x v="3"/>
    <x v="2"/>
    <x v="1"/>
    <n v="5"/>
    <n v="1314"/>
    <n v="6570"/>
    <x v="0"/>
    <x v="4"/>
  </r>
  <r>
    <x v="897"/>
    <x v="13"/>
    <s v="CUST1067"/>
    <x v="0"/>
    <x v="3"/>
    <x v="2"/>
    <n v="9"/>
    <n v="798"/>
    <n v="7182"/>
    <x v="0"/>
    <x v="0"/>
  </r>
  <r>
    <x v="898"/>
    <x v="262"/>
    <s v="CUST1255"/>
    <x v="3"/>
    <x v="2"/>
    <x v="1"/>
    <n v="3"/>
    <n v="1142"/>
    <n v="3426"/>
    <x v="0"/>
    <x v="5"/>
  </r>
  <r>
    <x v="899"/>
    <x v="161"/>
    <s v="CUST1313"/>
    <x v="2"/>
    <x v="4"/>
    <x v="2"/>
    <n v="6"/>
    <n v="3798"/>
    <n v="22788"/>
    <x v="0"/>
    <x v="5"/>
  </r>
  <r>
    <x v="900"/>
    <x v="243"/>
    <s v="CUST1077"/>
    <x v="2"/>
    <x v="4"/>
    <x v="2"/>
    <n v="6"/>
    <n v="3455"/>
    <n v="20730"/>
    <x v="0"/>
    <x v="12"/>
  </r>
  <r>
    <x v="901"/>
    <x v="156"/>
    <s v="CUST1240"/>
    <x v="2"/>
    <x v="10"/>
    <x v="4"/>
    <n v="4"/>
    <n v="1115"/>
    <n v="4460"/>
    <x v="0"/>
    <x v="6"/>
  </r>
  <r>
    <x v="902"/>
    <x v="92"/>
    <s v="CUST1226"/>
    <x v="3"/>
    <x v="12"/>
    <x v="4"/>
    <n v="2"/>
    <n v="1978"/>
    <n v="3956"/>
    <x v="1"/>
    <x v="7"/>
  </r>
  <r>
    <x v="903"/>
    <x v="313"/>
    <s v="CUST1063"/>
    <x v="2"/>
    <x v="2"/>
    <x v="1"/>
    <n v="8"/>
    <n v="1198"/>
    <n v="9584"/>
    <x v="0"/>
    <x v="7"/>
  </r>
  <r>
    <x v="904"/>
    <x v="193"/>
    <s v="CUST1339"/>
    <x v="3"/>
    <x v="3"/>
    <x v="2"/>
    <n v="3"/>
    <n v="839"/>
    <n v="2517"/>
    <x v="0"/>
    <x v="11"/>
  </r>
  <r>
    <x v="905"/>
    <x v="275"/>
    <s v="CUST1346"/>
    <x v="3"/>
    <x v="7"/>
    <x v="0"/>
    <n v="7"/>
    <n v="27102"/>
    <n v="189714"/>
    <x v="0"/>
    <x v="0"/>
  </r>
  <r>
    <x v="906"/>
    <x v="216"/>
    <s v="CUST1165"/>
    <x v="2"/>
    <x v="0"/>
    <x v="0"/>
    <n v="2"/>
    <n v="2936"/>
    <n v="5872"/>
    <x v="0"/>
    <x v="9"/>
  </r>
  <r>
    <x v="907"/>
    <x v="236"/>
    <s v="CUST1336"/>
    <x v="3"/>
    <x v="9"/>
    <x v="4"/>
    <n v="8"/>
    <n v="495"/>
    <n v="3960"/>
    <x v="2"/>
    <x v="4"/>
  </r>
  <r>
    <x v="908"/>
    <x v="32"/>
    <s v="CUST1066"/>
    <x v="3"/>
    <x v="15"/>
    <x v="0"/>
    <n v="6"/>
    <n v="8715"/>
    <n v="52290"/>
    <x v="2"/>
    <x v="1"/>
  </r>
  <r>
    <x v="909"/>
    <x v="136"/>
    <s v="CUST1195"/>
    <x v="2"/>
    <x v="5"/>
    <x v="2"/>
    <n v="1"/>
    <n v="1887"/>
    <n v="1887"/>
    <x v="0"/>
    <x v="0"/>
  </r>
  <r>
    <x v="910"/>
    <x v="176"/>
    <s v="CUST1198"/>
    <x v="1"/>
    <x v="13"/>
    <x v="3"/>
    <n v="7"/>
    <n v="6424"/>
    <n v="44968"/>
    <x v="1"/>
    <x v="10"/>
  </r>
  <r>
    <x v="911"/>
    <x v="111"/>
    <s v="CUST1308"/>
    <x v="1"/>
    <x v="13"/>
    <x v="3"/>
    <n v="5"/>
    <n v="6987"/>
    <n v="34935"/>
    <x v="0"/>
    <x v="9"/>
  </r>
  <r>
    <x v="912"/>
    <x v="154"/>
    <s v="CUST1243"/>
    <x v="1"/>
    <x v="0"/>
    <x v="0"/>
    <n v="9"/>
    <n v="2819"/>
    <n v="25371"/>
    <x v="0"/>
    <x v="6"/>
  </r>
  <r>
    <x v="913"/>
    <x v="105"/>
    <s v="CUST1322"/>
    <x v="0"/>
    <x v="10"/>
    <x v="4"/>
    <n v="7"/>
    <n v="1274"/>
    <n v="8918"/>
    <x v="0"/>
    <x v="14"/>
  </r>
  <r>
    <x v="914"/>
    <x v="312"/>
    <s v="CUST1253"/>
    <x v="3"/>
    <x v="2"/>
    <x v="1"/>
    <n v="8"/>
    <n v="1242"/>
    <n v="9936"/>
    <x v="0"/>
    <x v="12"/>
  </r>
  <r>
    <x v="915"/>
    <x v="190"/>
    <s v="CUST1153"/>
    <x v="0"/>
    <x v="11"/>
    <x v="1"/>
    <n v="5"/>
    <n v="2484"/>
    <n v="12420"/>
    <x v="0"/>
    <x v="9"/>
  </r>
  <r>
    <x v="916"/>
    <x v="42"/>
    <s v="CUST1039"/>
    <x v="2"/>
    <x v="3"/>
    <x v="2"/>
    <n v="9"/>
    <n v="788"/>
    <n v="7092"/>
    <x v="0"/>
    <x v="3"/>
  </r>
  <r>
    <x v="917"/>
    <x v="32"/>
    <s v="CUST1129"/>
    <x v="3"/>
    <x v="15"/>
    <x v="0"/>
    <n v="7"/>
    <n v="7351"/>
    <n v="51457"/>
    <x v="0"/>
    <x v="7"/>
  </r>
  <r>
    <x v="918"/>
    <x v="333"/>
    <s v="CUST1201"/>
    <x v="3"/>
    <x v="1"/>
    <x v="0"/>
    <n v="2"/>
    <n v="57645"/>
    <n v="115290"/>
    <x v="0"/>
    <x v="4"/>
  </r>
  <r>
    <x v="919"/>
    <x v="149"/>
    <s v="CUST1319"/>
    <x v="3"/>
    <x v="5"/>
    <x v="2"/>
    <n v="10"/>
    <n v="1880"/>
    <n v="18800"/>
    <x v="0"/>
    <x v="10"/>
  </r>
  <r>
    <x v="920"/>
    <x v="78"/>
    <s v="CUST1344"/>
    <x v="3"/>
    <x v="13"/>
    <x v="3"/>
    <n v="3"/>
    <n v="6409"/>
    <n v="19227"/>
    <x v="2"/>
    <x v="0"/>
  </r>
  <r>
    <x v="921"/>
    <x v="190"/>
    <s v="CUST1235"/>
    <x v="1"/>
    <x v="1"/>
    <x v="0"/>
    <n v="7"/>
    <n v="50783"/>
    <n v="355481"/>
    <x v="0"/>
    <x v="2"/>
  </r>
  <r>
    <x v="922"/>
    <x v="53"/>
    <s v="CUST1184"/>
    <x v="1"/>
    <x v="8"/>
    <x v="1"/>
    <n v="8"/>
    <n v="1440"/>
    <n v="11520"/>
    <x v="1"/>
    <x v="2"/>
  </r>
  <r>
    <x v="923"/>
    <x v="197"/>
    <s v="CUST1008"/>
    <x v="0"/>
    <x v="12"/>
    <x v="4"/>
    <n v="2"/>
    <n v="1665"/>
    <n v="3330"/>
    <x v="0"/>
    <x v="2"/>
  </r>
  <r>
    <x v="924"/>
    <x v="249"/>
    <s v="CUST1320"/>
    <x v="2"/>
    <x v="7"/>
    <x v="0"/>
    <n v="8"/>
    <n v="25743"/>
    <n v="205944"/>
    <x v="0"/>
    <x v="5"/>
  </r>
  <r>
    <x v="925"/>
    <x v="330"/>
    <s v="CUST1011"/>
    <x v="2"/>
    <x v="13"/>
    <x v="3"/>
    <n v="5"/>
    <n v="7377"/>
    <n v="36885"/>
    <x v="0"/>
    <x v="0"/>
  </r>
  <r>
    <x v="926"/>
    <x v="149"/>
    <s v="CUST1299"/>
    <x v="3"/>
    <x v="6"/>
    <x v="3"/>
    <n v="8"/>
    <n v="9834"/>
    <n v="78672"/>
    <x v="0"/>
    <x v="1"/>
  </r>
  <r>
    <x v="927"/>
    <x v="165"/>
    <s v="CUST1212"/>
    <x v="3"/>
    <x v="2"/>
    <x v="1"/>
    <n v="1"/>
    <n v="1160"/>
    <n v="1160"/>
    <x v="0"/>
    <x v="5"/>
  </r>
  <r>
    <x v="928"/>
    <x v="327"/>
    <s v="CUST1248"/>
    <x v="1"/>
    <x v="8"/>
    <x v="1"/>
    <n v="9"/>
    <n v="1649"/>
    <n v="14841"/>
    <x v="0"/>
    <x v="12"/>
  </r>
  <r>
    <x v="929"/>
    <x v="133"/>
    <s v="CUST1216"/>
    <x v="0"/>
    <x v="8"/>
    <x v="1"/>
    <n v="8"/>
    <n v="1419"/>
    <n v="11352"/>
    <x v="0"/>
    <x v="11"/>
  </r>
  <r>
    <x v="930"/>
    <x v="65"/>
    <s v="CUST1330"/>
    <x v="3"/>
    <x v="0"/>
    <x v="0"/>
    <n v="7"/>
    <n v="3233"/>
    <n v="22631"/>
    <x v="0"/>
    <x v="7"/>
  </r>
  <r>
    <x v="931"/>
    <x v="81"/>
    <s v="CUST1224"/>
    <x v="1"/>
    <x v="10"/>
    <x v="4"/>
    <n v="3"/>
    <n v="1149"/>
    <n v="3447"/>
    <x v="0"/>
    <x v="1"/>
  </r>
  <r>
    <x v="932"/>
    <x v="242"/>
    <s v="CUST1239"/>
    <x v="1"/>
    <x v="8"/>
    <x v="1"/>
    <n v="6"/>
    <n v="1626"/>
    <n v="9756"/>
    <x v="1"/>
    <x v="9"/>
  </r>
  <r>
    <x v="933"/>
    <x v="325"/>
    <s v="CUST1318"/>
    <x v="2"/>
    <x v="12"/>
    <x v="4"/>
    <n v="6"/>
    <n v="1906"/>
    <n v="11436"/>
    <x v="0"/>
    <x v="1"/>
  </r>
  <r>
    <x v="934"/>
    <x v="243"/>
    <s v="CUST1051"/>
    <x v="3"/>
    <x v="15"/>
    <x v="0"/>
    <n v="3"/>
    <n v="7477"/>
    <n v="22431"/>
    <x v="0"/>
    <x v="10"/>
  </r>
  <r>
    <x v="935"/>
    <x v="133"/>
    <s v="CUST1183"/>
    <x v="1"/>
    <x v="12"/>
    <x v="4"/>
    <n v="4"/>
    <n v="1695"/>
    <n v="6780"/>
    <x v="0"/>
    <x v="3"/>
  </r>
  <r>
    <x v="936"/>
    <x v="255"/>
    <s v="CUST1058"/>
    <x v="3"/>
    <x v="13"/>
    <x v="3"/>
    <n v="9"/>
    <n v="6344"/>
    <n v="57096"/>
    <x v="0"/>
    <x v="11"/>
  </r>
  <r>
    <x v="937"/>
    <x v="24"/>
    <s v="CUST1023"/>
    <x v="3"/>
    <x v="11"/>
    <x v="1"/>
    <n v="8"/>
    <n v="2378"/>
    <n v="19024"/>
    <x v="0"/>
    <x v="10"/>
  </r>
  <r>
    <x v="938"/>
    <x v="172"/>
    <s v="CUST1224"/>
    <x v="2"/>
    <x v="3"/>
    <x v="2"/>
    <n v="9"/>
    <n v="816"/>
    <n v="7344"/>
    <x v="0"/>
    <x v="10"/>
  </r>
  <r>
    <x v="939"/>
    <x v="213"/>
    <s v="CUST1287"/>
    <x v="1"/>
    <x v="1"/>
    <x v="0"/>
    <n v="10"/>
    <n v="56206"/>
    <n v="562060"/>
    <x v="1"/>
    <x v="4"/>
  </r>
  <r>
    <x v="940"/>
    <x v="288"/>
    <s v="CUST1149"/>
    <x v="1"/>
    <x v="6"/>
    <x v="3"/>
    <n v="2"/>
    <n v="9667"/>
    <n v="19334"/>
    <x v="1"/>
    <x v="2"/>
  </r>
  <r>
    <x v="941"/>
    <x v="131"/>
    <s v="CUST1062"/>
    <x v="1"/>
    <x v="2"/>
    <x v="1"/>
    <n v="2"/>
    <n v="1117"/>
    <n v="2234"/>
    <x v="0"/>
    <x v="5"/>
  </r>
  <r>
    <x v="942"/>
    <x v="185"/>
    <s v="CUST1258"/>
    <x v="3"/>
    <x v="10"/>
    <x v="4"/>
    <n v="4"/>
    <n v="1280"/>
    <n v="5120"/>
    <x v="0"/>
    <x v="9"/>
  </r>
  <r>
    <x v="943"/>
    <x v="178"/>
    <s v="CUST1271"/>
    <x v="3"/>
    <x v="4"/>
    <x v="2"/>
    <n v="7"/>
    <n v="3402"/>
    <n v="23814"/>
    <x v="0"/>
    <x v="14"/>
  </r>
  <r>
    <x v="944"/>
    <x v="291"/>
    <s v="CUST1349"/>
    <x v="2"/>
    <x v="14"/>
    <x v="3"/>
    <n v="7"/>
    <n v="13003"/>
    <n v="91021"/>
    <x v="0"/>
    <x v="7"/>
  </r>
  <r>
    <x v="945"/>
    <x v="99"/>
    <s v="CUST1043"/>
    <x v="2"/>
    <x v="10"/>
    <x v="4"/>
    <n v="1"/>
    <n v="1252"/>
    <n v="1252"/>
    <x v="0"/>
    <x v="7"/>
  </r>
  <r>
    <x v="946"/>
    <x v="48"/>
    <s v="CUST1077"/>
    <x v="3"/>
    <x v="14"/>
    <x v="3"/>
    <n v="1"/>
    <n v="11743"/>
    <n v="11743"/>
    <x v="0"/>
    <x v="3"/>
  </r>
  <r>
    <x v="947"/>
    <x v="21"/>
    <s v="CUST1155"/>
    <x v="0"/>
    <x v="2"/>
    <x v="1"/>
    <n v="7"/>
    <n v="1176"/>
    <n v="8232"/>
    <x v="0"/>
    <x v="2"/>
  </r>
  <r>
    <x v="948"/>
    <x v="313"/>
    <s v="CUST1206"/>
    <x v="0"/>
    <x v="3"/>
    <x v="2"/>
    <n v="5"/>
    <n v="864"/>
    <n v="4320"/>
    <x v="0"/>
    <x v="13"/>
  </r>
  <r>
    <x v="949"/>
    <x v="237"/>
    <s v="CUST1207"/>
    <x v="0"/>
    <x v="8"/>
    <x v="1"/>
    <n v="10"/>
    <n v="1545"/>
    <n v="15450"/>
    <x v="0"/>
    <x v="10"/>
  </r>
  <r>
    <x v="950"/>
    <x v="84"/>
    <s v="CUST1266"/>
    <x v="3"/>
    <x v="3"/>
    <x v="2"/>
    <n v="1"/>
    <n v="805"/>
    <n v="805"/>
    <x v="0"/>
    <x v="12"/>
  </r>
  <r>
    <x v="951"/>
    <x v="334"/>
    <s v="CUST1014"/>
    <x v="3"/>
    <x v="0"/>
    <x v="0"/>
    <n v="9"/>
    <n v="2904"/>
    <n v="26136"/>
    <x v="0"/>
    <x v="3"/>
  </r>
  <r>
    <x v="952"/>
    <x v="330"/>
    <s v="CUST1258"/>
    <x v="2"/>
    <x v="2"/>
    <x v="1"/>
    <n v="4"/>
    <n v="1279"/>
    <n v="5116"/>
    <x v="0"/>
    <x v="0"/>
  </r>
  <r>
    <x v="953"/>
    <x v="286"/>
    <s v="CUST1063"/>
    <x v="0"/>
    <x v="5"/>
    <x v="2"/>
    <n v="9"/>
    <n v="1747"/>
    <n v="15723"/>
    <x v="0"/>
    <x v="13"/>
  </r>
  <r>
    <x v="954"/>
    <x v="167"/>
    <s v="CUST1289"/>
    <x v="3"/>
    <x v="15"/>
    <x v="0"/>
    <n v="6"/>
    <n v="8772"/>
    <n v="52632"/>
    <x v="0"/>
    <x v="2"/>
  </r>
  <r>
    <x v="955"/>
    <x v="335"/>
    <s v="CUST1344"/>
    <x v="2"/>
    <x v="8"/>
    <x v="1"/>
    <n v="4"/>
    <n v="1455"/>
    <n v="5820"/>
    <x v="0"/>
    <x v="9"/>
  </r>
  <r>
    <x v="956"/>
    <x v="5"/>
    <s v="CUST1184"/>
    <x v="0"/>
    <x v="8"/>
    <x v="1"/>
    <n v="4"/>
    <n v="1381"/>
    <n v="5524"/>
    <x v="0"/>
    <x v="13"/>
  </r>
  <r>
    <x v="957"/>
    <x v="124"/>
    <s v="CUST1243"/>
    <x v="3"/>
    <x v="12"/>
    <x v="4"/>
    <n v="2"/>
    <n v="1653"/>
    <n v="3306"/>
    <x v="0"/>
    <x v="1"/>
  </r>
  <r>
    <x v="958"/>
    <x v="181"/>
    <s v="CUST1135"/>
    <x v="1"/>
    <x v="4"/>
    <x v="2"/>
    <n v="9"/>
    <n v="3431"/>
    <n v="30879"/>
    <x v="0"/>
    <x v="11"/>
  </r>
  <r>
    <x v="959"/>
    <x v="176"/>
    <s v="CUST1073"/>
    <x v="1"/>
    <x v="12"/>
    <x v="4"/>
    <n v="8"/>
    <n v="1883"/>
    <n v="15064"/>
    <x v="0"/>
    <x v="12"/>
  </r>
  <r>
    <x v="960"/>
    <x v="19"/>
    <s v="CUST1233"/>
    <x v="3"/>
    <x v="10"/>
    <x v="4"/>
    <n v="9"/>
    <n v="1287"/>
    <n v="11583"/>
    <x v="0"/>
    <x v="13"/>
  </r>
  <r>
    <x v="961"/>
    <x v="143"/>
    <s v="CUST1056"/>
    <x v="3"/>
    <x v="6"/>
    <x v="3"/>
    <n v="6"/>
    <n v="9759"/>
    <n v="58554"/>
    <x v="0"/>
    <x v="0"/>
  </r>
  <r>
    <x v="962"/>
    <x v="20"/>
    <s v="CUST1155"/>
    <x v="1"/>
    <x v="3"/>
    <x v="2"/>
    <n v="9"/>
    <n v="744"/>
    <n v="6696"/>
    <x v="0"/>
    <x v="6"/>
  </r>
  <r>
    <x v="963"/>
    <x v="290"/>
    <s v="CUST1145"/>
    <x v="1"/>
    <x v="13"/>
    <x v="3"/>
    <n v="10"/>
    <n v="6890"/>
    <n v="68900"/>
    <x v="2"/>
    <x v="1"/>
  </r>
  <r>
    <x v="964"/>
    <x v="120"/>
    <s v="CUST1213"/>
    <x v="3"/>
    <x v="10"/>
    <x v="4"/>
    <n v="2"/>
    <n v="1211"/>
    <n v="2422"/>
    <x v="0"/>
    <x v="13"/>
  </r>
  <r>
    <x v="965"/>
    <x v="50"/>
    <s v="CUST1067"/>
    <x v="0"/>
    <x v="2"/>
    <x v="1"/>
    <n v="6"/>
    <n v="1267"/>
    <n v="7602"/>
    <x v="0"/>
    <x v="10"/>
  </r>
  <r>
    <x v="966"/>
    <x v="272"/>
    <s v="CUST1319"/>
    <x v="3"/>
    <x v="12"/>
    <x v="4"/>
    <n v="8"/>
    <n v="1673"/>
    <n v="13384"/>
    <x v="0"/>
    <x v="8"/>
  </r>
  <r>
    <x v="967"/>
    <x v="261"/>
    <s v="CUST1226"/>
    <x v="0"/>
    <x v="10"/>
    <x v="4"/>
    <n v="7"/>
    <n v="1161"/>
    <n v="8127"/>
    <x v="0"/>
    <x v="2"/>
  </r>
  <r>
    <x v="968"/>
    <x v="336"/>
    <s v="CUST1158"/>
    <x v="3"/>
    <x v="7"/>
    <x v="0"/>
    <n v="1"/>
    <n v="25359"/>
    <n v="25359"/>
    <x v="0"/>
    <x v="12"/>
  </r>
  <r>
    <x v="969"/>
    <x v="299"/>
    <s v="CUST1291"/>
    <x v="0"/>
    <x v="11"/>
    <x v="1"/>
    <n v="4"/>
    <n v="2727"/>
    <n v="10908"/>
    <x v="0"/>
    <x v="12"/>
  </r>
  <r>
    <x v="970"/>
    <x v="337"/>
    <s v="CUST1009"/>
    <x v="3"/>
    <x v="9"/>
    <x v="4"/>
    <n v="1"/>
    <n v="462"/>
    <n v="462"/>
    <x v="1"/>
    <x v="6"/>
  </r>
  <r>
    <x v="971"/>
    <x v="50"/>
    <s v="CUST1164"/>
    <x v="2"/>
    <x v="6"/>
    <x v="3"/>
    <n v="10"/>
    <n v="8899"/>
    <n v="88990"/>
    <x v="0"/>
    <x v="14"/>
  </r>
  <r>
    <x v="972"/>
    <x v="338"/>
    <s v="CUST1162"/>
    <x v="0"/>
    <x v="10"/>
    <x v="4"/>
    <n v="6"/>
    <n v="1184"/>
    <n v="7104"/>
    <x v="0"/>
    <x v="14"/>
  </r>
  <r>
    <x v="973"/>
    <x v="339"/>
    <s v="CUST1045"/>
    <x v="3"/>
    <x v="1"/>
    <x v="0"/>
    <n v="9"/>
    <n v="51349"/>
    <n v="462141"/>
    <x v="0"/>
    <x v="9"/>
  </r>
  <r>
    <x v="974"/>
    <x v="337"/>
    <s v="CUST1013"/>
    <x v="3"/>
    <x v="9"/>
    <x v="4"/>
    <n v="3"/>
    <n v="455"/>
    <n v="1365"/>
    <x v="2"/>
    <x v="2"/>
  </r>
  <r>
    <x v="975"/>
    <x v="78"/>
    <s v="CUST1192"/>
    <x v="3"/>
    <x v="10"/>
    <x v="4"/>
    <n v="6"/>
    <n v="1114"/>
    <n v="6684"/>
    <x v="0"/>
    <x v="5"/>
  </r>
  <r>
    <x v="976"/>
    <x v="248"/>
    <s v="CUST1260"/>
    <x v="2"/>
    <x v="7"/>
    <x v="0"/>
    <n v="4"/>
    <n v="26260"/>
    <n v="105040"/>
    <x v="0"/>
    <x v="10"/>
  </r>
  <r>
    <x v="977"/>
    <x v="9"/>
    <s v="CUST1247"/>
    <x v="1"/>
    <x v="0"/>
    <x v="0"/>
    <n v="1"/>
    <n v="2891"/>
    <n v="2891"/>
    <x v="0"/>
    <x v="4"/>
  </r>
  <r>
    <x v="978"/>
    <x v="35"/>
    <s v="CUST1126"/>
    <x v="1"/>
    <x v="13"/>
    <x v="3"/>
    <n v="5"/>
    <n v="7075"/>
    <n v="35375"/>
    <x v="0"/>
    <x v="10"/>
  </r>
  <r>
    <x v="979"/>
    <x v="110"/>
    <s v="CUST1256"/>
    <x v="0"/>
    <x v="14"/>
    <x v="3"/>
    <n v="10"/>
    <n v="11776"/>
    <n v="117760"/>
    <x v="0"/>
    <x v="1"/>
  </r>
  <r>
    <x v="980"/>
    <x v="191"/>
    <s v="CUST1216"/>
    <x v="2"/>
    <x v="14"/>
    <x v="3"/>
    <n v="9"/>
    <n v="13164"/>
    <n v="118476"/>
    <x v="0"/>
    <x v="3"/>
  </r>
  <r>
    <x v="981"/>
    <x v="37"/>
    <s v="CUST1085"/>
    <x v="0"/>
    <x v="1"/>
    <x v="0"/>
    <n v="8"/>
    <n v="60072"/>
    <n v="480576"/>
    <x v="0"/>
    <x v="4"/>
  </r>
  <r>
    <x v="982"/>
    <x v="145"/>
    <s v="CUST1323"/>
    <x v="3"/>
    <x v="12"/>
    <x v="4"/>
    <n v="10"/>
    <n v="1710"/>
    <n v="17100"/>
    <x v="0"/>
    <x v="1"/>
  </r>
  <r>
    <x v="983"/>
    <x v="99"/>
    <s v="CUST1153"/>
    <x v="0"/>
    <x v="2"/>
    <x v="1"/>
    <n v="1"/>
    <n v="1118"/>
    <n v="1118"/>
    <x v="0"/>
    <x v="0"/>
  </r>
  <r>
    <x v="984"/>
    <x v="287"/>
    <s v="CUST1312"/>
    <x v="1"/>
    <x v="7"/>
    <x v="0"/>
    <n v="9"/>
    <n v="27494"/>
    <n v="247446"/>
    <x v="1"/>
    <x v="12"/>
  </r>
  <r>
    <x v="985"/>
    <x v="336"/>
    <s v="CUST1231"/>
    <x v="2"/>
    <x v="4"/>
    <x v="2"/>
    <n v="6"/>
    <n v="3594"/>
    <n v="21564"/>
    <x v="2"/>
    <x v="6"/>
  </r>
  <r>
    <x v="986"/>
    <x v="80"/>
    <s v="CUST1068"/>
    <x v="3"/>
    <x v="5"/>
    <x v="2"/>
    <n v="4"/>
    <n v="1785"/>
    <n v="7140"/>
    <x v="0"/>
    <x v="8"/>
  </r>
  <r>
    <x v="987"/>
    <x v="315"/>
    <s v="CUST1284"/>
    <x v="2"/>
    <x v="2"/>
    <x v="1"/>
    <n v="1"/>
    <n v="1296"/>
    <n v="1296"/>
    <x v="0"/>
    <x v="3"/>
  </r>
  <r>
    <x v="988"/>
    <x v="286"/>
    <s v="CUST1039"/>
    <x v="0"/>
    <x v="12"/>
    <x v="4"/>
    <n v="9"/>
    <n v="1649"/>
    <n v="14841"/>
    <x v="2"/>
    <x v="12"/>
  </r>
  <r>
    <x v="989"/>
    <x v="318"/>
    <s v="CUST1183"/>
    <x v="3"/>
    <x v="9"/>
    <x v="4"/>
    <n v="2"/>
    <n v="485"/>
    <n v="970"/>
    <x v="0"/>
    <x v="14"/>
  </r>
  <r>
    <x v="990"/>
    <x v="340"/>
    <s v="CUST1113"/>
    <x v="3"/>
    <x v="1"/>
    <x v="0"/>
    <n v="8"/>
    <n v="53575"/>
    <n v="428600"/>
    <x v="0"/>
    <x v="2"/>
  </r>
  <r>
    <x v="991"/>
    <x v="314"/>
    <s v="CUST1155"/>
    <x v="3"/>
    <x v="4"/>
    <x v="2"/>
    <n v="6"/>
    <n v="3284"/>
    <n v="19704"/>
    <x v="0"/>
    <x v="10"/>
  </r>
  <r>
    <x v="992"/>
    <x v="132"/>
    <s v="CUST1310"/>
    <x v="0"/>
    <x v="14"/>
    <x v="3"/>
    <n v="6"/>
    <n v="10888"/>
    <n v="65328"/>
    <x v="0"/>
    <x v="1"/>
  </r>
  <r>
    <x v="993"/>
    <x v="42"/>
    <s v="CUST1099"/>
    <x v="3"/>
    <x v="10"/>
    <x v="4"/>
    <n v="5"/>
    <n v="1216"/>
    <n v="6080"/>
    <x v="0"/>
    <x v="8"/>
  </r>
  <r>
    <x v="994"/>
    <x v="9"/>
    <s v="CUST1065"/>
    <x v="0"/>
    <x v="8"/>
    <x v="1"/>
    <n v="3"/>
    <n v="1369"/>
    <n v="4107"/>
    <x v="0"/>
    <x v="6"/>
  </r>
  <r>
    <x v="995"/>
    <x v="219"/>
    <s v="CUST1347"/>
    <x v="2"/>
    <x v="6"/>
    <x v="3"/>
    <n v="5"/>
    <n v="8445"/>
    <n v="42225"/>
    <x v="0"/>
    <x v="12"/>
  </r>
  <r>
    <x v="996"/>
    <x v="237"/>
    <s v="CUST1026"/>
    <x v="0"/>
    <x v="2"/>
    <x v="1"/>
    <n v="1"/>
    <n v="1305"/>
    <n v="1305"/>
    <x v="0"/>
    <x v="5"/>
  </r>
  <r>
    <x v="997"/>
    <x v="224"/>
    <s v="CUST1185"/>
    <x v="2"/>
    <x v="12"/>
    <x v="4"/>
    <n v="5"/>
    <n v="1663"/>
    <n v="8315"/>
    <x v="0"/>
    <x v="12"/>
  </r>
  <r>
    <x v="998"/>
    <x v="33"/>
    <s v="CUST1002"/>
    <x v="2"/>
    <x v="13"/>
    <x v="3"/>
    <n v="5"/>
    <n v="7585"/>
    <n v="37925"/>
    <x v="0"/>
    <x v="14"/>
  </r>
  <r>
    <x v="999"/>
    <x v="26"/>
    <s v="CUST1127"/>
    <x v="3"/>
    <x v="1"/>
    <x v="0"/>
    <n v="4"/>
    <n v="60259"/>
    <n v="241036"/>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907A6D-61BC-413A-A107-6A73EB57C7C8}" name="KPI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5:D42" firstHeaderRow="1" firstDataRow="1" firstDataCol="1" rowPageCount="1" colPageCount="1"/>
  <pivotFields count="13">
    <pivotField dataField="1" showAll="0"/>
    <pivotField numFmtId="14" showAll="0">
      <items count="342">
        <item x="184"/>
        <item x="2"/>
        <item x="340"/>
        <item x="320"/>
        <item x="258"/>
        <item x="27"/>
        <item x="80"/>
        <item x="133"/>
        <item x="254"/>
        <item x="334"/>
        <item x="280"/>
        <item x="1"/>
        <item x="329"/>
        <item x="128"/>
        <item x="319"/>
        <item x="198"/>
        <item x="156"/>
        <item x="46"/>
        <item x="92"/>
        <item x="140"/>
        <item x="120"/>
        <item x="106"/>
        <item x="172"/>
        <item x="68"/>
        <item x="299"/>
        <item x="239"/>
        <item x="31"/>
        <item x="270"/>
        <item x="141"/>
        <item x="115"/>
        <item x="9"/>
        <item x="257"/>
        <item x="99"/>
        <item x="309"/>
        <item x="56"/>
        <item x="26"/>
        <item x="324"/>
        <item x="201"/>
        <item x="88"/>
        <item x="214"/>
        <item x="188"/>
        <item x="272"/>
        <item x="94"/>
        <item x="3"/>
        <item x="332"/>
        <item x="169"/>
        <item x="151"/>
        <item x="35"/>
        <item x="213"/>
        <item x="155"/>
        <item x="216"/>
        <item x="25"/>
        <item x="12"/>
        <item x="197"/>
        <item x="267"/>
        <item x="38"/>
        <item x="263"/>
        <item x="82"/>
        <item x="163"/>
        <item x="84"/>
        <item x="262"/>
        <item x="124"/>
        <item x="279"/>
        <item x="173"/>
        <item x="305"/>
        <item x="131"/>
        <item x="152"/>
        <item x="102"/>
        <item x="204"/>
        <item x="313"/>
        <item x="271"/>
        <item x="178"/>
        <item x="69"/>
        <item x="312"/>
        <item x="288"/>
        <item x="325"/>
        <item x="176"/>
        <item x="233"/>
        <item x="70"/>
        <item x="54"/>
        <item x="179"/>
        <item x="118"/>
        <item x="251"/>
        <item x="49"/>
        <item x="337"/>
        <item x="333"/>
        <item x="199"/>
        <item x="256"/>
        <item x="5"/>
        <item x="135"/>
        <item x="306"/>
        <item x="112"/>
        <item x="192"/>
        <item x="225"/>
        <item x="245"/>
        <item x="287"/>
        <item x="19"/>
        <item x="222"/>
        <item x="322"/>
        <item x="194"/>
        <item x="282"/>
        <item x="246"/>
        <item x="47"/>
        <item x="114"/>
        <item x="209"/>
        <item x="205"/>
        <item x="206"/>
        <item x="308"/>
        <item x="300"/>
        <item x="44"/>
        <item x="79"/>
        <item x="202"/>
        <item x="328"/>
        <item x="142"/>
        <item x="43"/>
        <item x="289"/>
        <item x="220"/>
        <item x="339"/>
        <item x="113"/>
        <item x="78"/>
        <item x="331"/>
        <item x="161"/>
        <item x="90"/>
        <item x="91"/>
        <item x="76"/>
        <item x="266"/>
        <item x="183"/>
        <item x="121"/>
        <item x="40"/>
        <item x="126"/>
        <item x="116"/>
        <item x="285"/>
        <item x="144"/>
        <item x="185"/>
        <item x="97"/>
        <item x="186"/>
        <item x="226"/>
        <item x="277"/>
        <item x="187"/>
        <item x="100"/>
        <item x="34"/>
        <item x="83"/>
        <item x="304"/>
        <item x="290"/>
        <item x="17"/>
        <item x="111"/>
        <item x="71"/>
        <item x="278"/>
        <item x="33"/>
        <item x="301"/>
        <item x="241"/>
        <item x="276"/>
        <item x="96"/>
        <item x="129"/>
        <item x="170"/>
        <item x="117"/>
        <item x="22"/>
        <item x="175"/>
        <item x="228"/>
        <item x="123"/>
        <item x="14"/>
        <item x="323"/>
        <item x="81"/>
        <item x="303"/>
        <item x="283"/>
        <item x="145"/>
        <item x="138"/>
        <item x="24"/>
        <item x="250"/>
        <item x="109"/>
        <item x="212"/>
        <item x="134"/>
        <item x="174"/>
        <item x="227"/>
        <item x="36"/>
        <item x="230"/>
        <item x="20"/>
        <item x="296"/>
        <item x="67"/>
        <item x="232"/>
        <item x="189"/>
        <item x="158"/>
        <item x="154"/>
        <item x="63"/>
        <item x="235"/>
        <item x="196"/>
        <item x="181"/>
        <item x="298"/>
        <item x="327"/>
        <item x="28"/>
        <item x="52"/>
        <item x="61"/>
        <item x="143"/>
        <item x="45"/>
        <item x="315"/>
        <item x="150"/>
        <item x="86"/>
        <item x="74"/>
        <item x="330"/>
        <item x="108"/>
        <item x="268"/>
        <item x="231"/>
        <item x="255"/>
        <item x="165"/>
        <item x="105"/>
        <item x="249"/>
        <item x="316"/>
        <item x="217"/>
        <item x="182"/>
        <item x="326"/>
        <item x="60"/>
        <item x="195"/>
        <item x="149"/>
        <item x="281"/>
        <item x="6"/>
        <item x="269"/>
        <item x="10"/>
        <item x="229"/>
        <item x="66"/>
        <item x="107"/>
        <item x="13"/>
        <item x="89"/>
        <item x="98"/>
        <item x="302"/>
        <item x="119"/>
        <item x="190"/>
        <item x="180"/>
        <item x="148"/>
        <item x="215"/>
        <item x="64"/>
        <item x="104"/>
        <item x="177"/>
        <item x="243"/>
        <item x="248"/>
        <item x="224"/>
        <item x="171"/>
        <item x="275"/>
        <item x="264"/>
        <item x="101"/>
        <item x="311"/>
        <item x="15"/>
        <item x="146"/>
        <item x="221"/>
        <item x="130"/>
        <item x="291"/>
        <item x="58"/>
        <item x="51"/>
        <item x="75"/>
        <item x="259"/>
        <item x="164"/>
        <item x="338"/>
        <item x="265"/>
        <item x="18"/>
        <item x="203"/>
        <item x="4"/>
        <item x="191"/>
        <item x="16"/>
        <item x="30"/>
        <item x="157"/>
        <item x="218"/>
        <item x="162"/>
        <item x="42"/>
        <item x="21"/>
        <item x="29"/>
        <item x="273"/>
        <item x="59"/>
        <item x="200"/>
        <item x="193"/>
        <item x="73"/>
        <item x="208"/>
        <item x="32"/>
        <item x="23"/>
        <item x="335"/>
        <item x="93"/>
        <item x="253"/>
        <item x="137"/>
        <item x="167"/>
        <item x="11"/>
        <item x="297"/>
        <item x="223"/>
        <item x="87"/>
        <item x="236"/>
        <item x="147"/>
        <item x="295"/>
        <item x="318"/>
        <item x="136"/>
        <item x="122"/>
        <item x="50"/>
        <item x="127"/>
        <item x="77"/>
        <item x="252"/>
        <item x="284"/>
        <item x="53"/>
        <item x="210"/>
        <item x="274"/>
        <item x="65"/>
        <item x="103"/>
        <item x="314"/>
        <item x="72"/>
        <item x="85"/>
        <item x="321"/>
        <item x="211"/>
        <item x="110"/>
        <item x="310"/>
        <item x="8"/>
        <item x="48"/>
        <item x="292"/>
        <item x="139"/>
        <item x="293"/>
        <item x="237"/>
        <item x="286"/>
        <item x="37"/>
        <item x="57"/>
        <item x="242"/>
        <item x="294"/>
        <item x="159"/>
        <item x="260"/>
        <item x="125"/>
        <item x="207"/>
        <item x="153"/>
        <item x="261"/>
        <item x="55"/>
        <item x="240"/>
        <item x="0"/>
        <item x="160"/>
        <item x="7"/>
        <item x="168"/>
        <item x="39"/>
        <item x="307"/>
        <item x="234"/>
        <item x="219"/>
        <item x="95"/>
        <item x="62"/>
        <item x="247"/>
        <item x="244"/>
        <item x="238"/>
        <item x="132"/>
        <item x="41"/>
        <item x="336"/>
        <item x="166"/>
        <item x="317"/>
        <item t="default"/>
      </items>
    </pivotField>
    <pivotField showAll="0"/>
    <pivotField showAll="0">
      <items count="5">
        <item x="0"/>
        <item x="3"/>
        <item x="1"/>
        <item x="2"/>
        <item t="default"/>
      </items>
    </pivotField>
    <pivotField axis="axisRow" showAll="0" sortType="descending">
      <items count="17">
        <item x="6"/>
        <item x="12"/>
        <item x="11"/>
        <item x="14"/>
        <item x="2"/>
        <item x="0"/>
        <item x="4"/>
        <item x="5"/>
        <item x="1"/>
        <item x="13"/>
        <item x="10"/>
        <item x="7"/>
        <item x="15"/>
        <item x="9"/>
        <item x="3"/>
        <item x="8"/>
        <item t="default"/>
      </items>
      <autoSortScope>
        <pivotArea dataOnly="0" outline="0" fieldPosition="0">
          <references count="1">
            <reference field="4294967294" count="1" selected="0">
              <x v="0"/>
            </reference>
          </references>
        </pivotArea>
      </autoSortScope>
    </pivotField>
    <pivotField showAll="0">
      <items count="6">
        <item x="2"/>
        <item x="0"/>
        <item x="3"/>
        <item x="4"/>
        <item x="1"/>
        <item t="default"/>
      </items>
    </pivotField>
    <pivotField showAll="0"/>
    <pivotField showAll="0"/>
    <pivotField showAll="0"/>
    <pivotField axis="axisPage" multipleItemSelectionAllowed="1" showAll="0">
      <items count="4">
        <item h="1" x="1"/>
        <item h="1" x="0"/>
        <item x="2"/>
        <item t="default"/>
      </items>
    </pivotField>
    <pivotField showAll="0">
      <items count="16">
        <item x="4"/>
        <item x="11"/>
        <item x="8"/>
        <item x="2"/>
        <item x="10"/>
        <item x="5"/>
        <item x="3"/>
        <item x="0"/>
        <item x="9"/>
        <item x="1"/>
        <item x="6"/>
        <item x="7"/>
        <item x="14"/>
        <item x="13"/>
        <item x="1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7">
    <i>
      <x v="6"/>
    </i>
    <i>
      <x v="9"/>
    </i>
    <i>
      <x v="4"/>
    </i>
    <i>
      <x v="13"/>
    </i>
    <i>
      <x v="10"/>
    </i>
    <i>
      <x v="15"/>
    </i>
    <i>
      <x v="14"/>
    </i>
    <i>
      <x v="2"/>
    </i>
    <i>
      <x v="7"/>
    </i>
    <i>
      <x v="5"/>
    </i>
    <i>
      <x/>
    </i>
    <i>
      <x v="12"/>
    </i>
    <i>
      <x v="8"/>
    </i>
    <i>
      <x v="11"/>
    </i>
    <i>
      <x v="1"/>
    </i>
    <i>
      <x v="3"/>
    </i>
    <i t="grand">
      <x/>
    </i>
  </rowItems>
  <colItems count="1">
    <i/>
  </colItems>
  <pageFields count="1">
    <pageField fld="9" hier="-1"/>
  </pageFields>
  <dataFields count="1">
    <dataField name="Count of Order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E9B39D-06C1-4E95-B7A6-8BBC8503B1ED}" name="KPI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1:C22" firstHeaderRow="1" firstDataRow="1" firstDataCol="0" rowPageCount="1" colPageCount="1"/>
  <pivotFields count="13">
    <pivotField showAll="0"/>
    <pivotField numFmtId="14" showAll="0">
      <items count="342">
        <item x="184"/>
        <item x="2"/>
        <item x="340"/>
        <item x="320"/>
        <item x="258"/>
        <item x="27"/>
        <item x="80"/>
        <item x="133"/>
        <item x="254"/>
        <item x="334"/>
        <item x="280"/>
        <item x="1"/>
        <item x="329"/>
        <item x="128"/>
        <item x="319"/>
        <item x="198"/>
        <item x="156"/>
        <item x="46"/>
        <item x="92"/>
        <item x="140"/>
        <item x="120"/>
        <item x="106"/>
        <item x="172"/>
        <item x="68"/>
        <item x="299"/>
        <item x="239"/>
        <item x="31"/>
        <item x="270"/>
        <item x="141"/>
        <item x="115"/>
        <item x="9"/>
        <item x="257"/>
        <item x="99"/>
        <item x="309"/>
        <item x="56"/>
        <item x="26"/>
        <item x="324"/>
        <item x="201"/>
        <item x="88"/>
        <item x="214"/>
        <item x="188"/>
        <item x="272"/>
        <item x="94"/>
        <item x="3"/>
        <item x="332"/>
        <item x="169"/>
        <item x="151"/>
        <item x="35"/>
        <item x="213"/>
        <item x="155"/>
        <item x="216"/>
        <item x="25"/>
        <item x="12"/>
        <item x="197"/>
        <item x="267"/>
        <item x="38"/>
        <item x="263"/>
        <item x="82"/>
        <item x="163"/>
        <item x="84"/>
        <item x="262"/>
        <item x="124"/>
        <item x="279"/>
        <item x="173"/>
        <item x="305"/>
        <item x="131"/>
        <item x="152"/>
        <item x="102"/>
        <item x="204"/>
        <item x="313"/>
        <item x="271"/>
        <item x="178"/>
        <item x="69"/>
        <item x="312"/>
        <item x="288"/>
        <item x="325"/>
        <item x="176"/>
        <item x="233"/>
        <item x="70"/>
        <item x="54"/>
        <item x="179"/>
        <item x="118"/>
        <item x="251"/>
        <item x="49"/>
        <item x="337"/>
        <item x="333"/>
        <item x="199"/>
        <item x="256"/>
        <item x="5"/>
        <item x="135"/>
        <item x="306"/>
        <item x="112"/>
        <item x="192"/>
        <item x="225"/>
        <item x="245"/>
        <item x="287"/>
        <item x="19"/>
        <item x="222"/>
        <item x="322"/>
        <item x="194"/>
        <item x="282"/>
        <item x="246"/>
        <item x="47"/>
        <item x="114"/>
        <item x="209"/>
        <item x="205"/>
        <item x="206"/>
        <item x="308"/>
        <item x="300"/>
        <item x="44"/>
        <item x="79"/>
        <item x="202"/>
        <item x="328"/>
        <item x="142"/>
        <item x="43"/>
        <item x="289"/>
        <item x="220"/>
        <item x="339"/>
        <item x="113"/>
        <item x="78"/>
        <item x="331"/>
        <item x="161"/>
        <item x="90"/>
        <item x="91"/>
        <item x="76"/>
        <item x="266"/>
        <item x="183"/>
        <item x="121"/>
        <item x="40"/>
        <item x="126"/>
        <item x="116"/>
        <item x="285"/>
        <item x="144"/>
        <item x="185"/>
        <item x="97"/>
        <item x="186"/>
        <item x="226"/>
        <item x="277"/>
        <item x="187"/>
        <item x="100"/>
        <item x="34"/>
        <item x="83"/>
        <item x="304"/>
        <item x="290"/>
        <item x="17"/>
        <item x="111"/>
        <item x="71"/>
        <item x="278"/>
        <item x="33"/>
        <item x="301"/>
        <item x="241"/>
        <item x="276"/>
        <item x="96"/>
        <item x="129"/>
        <item x="170"/>
        <item x="117"/>
        <item x="22"/>
        <item x="175"/>
        <item x="228"/>
        <item x="123"/>
        <item x="14"/>
        <item x="323"/>
        <item x="81"/>
        <item x="303"/>
        <item x="283"/>
        <item x="145"/>
        <item x="138"/>
        <item x="24"/>
        <item x="250"/>
        <item x="109"/>
        <item x="212"/>
        <item x="134"/>
        <item x="174"/>
        <item x="227"/>
        <item x="36"/>
        <item x="230"/>
        <item x="20"/>
        <item x="296"/>
        <item x="67"/>
        <item x="232"/>
        <item x="189"/>
        <item x="158"/>
        <item x="154"/>
        <item x="63"/>
        <item x="235"/>
        <item x="196"/>
        <item x="181"/>
        <item x="298"/>
        <item x="327"/>
        <item x="28"/>
        <item x="52"/>
        <item x="61"/>
        <item x="143"/>
        <item x="45"/>
        <item x="315"/>
        <item x="150"/>
        <item x="86"/>
        <item x="74"/>
        <item x="330"/>
        <item x="108"/>
        <item x="268"/>
        <item x="231"/>
        <item x="255"/>
        <item x="165"/>
        <item x="105"/>
        <item x="249"/>
        <item x="316"/>
        <item x="217"/>
        <item x="182"/>
        <item x="326"/>
        <item x="60"/>
        <item x="195"/>
        <item x="149"/>
        <item x="281"/>
        <item x="6"/>
        <item x="269"/>
        <item x="10"/>
        <item x="229"/>
        <item x="66"/>
        <item x="107"/>
        <item x="13"/>
        <item x="89"/>
        <item x="98"/>
        <item x="302"/>
        <item x="119"/>
        <item x="190"/>
        <item x="180"/>
        <item x="148"/>
        <item x="215"/>
        <item x="64"/>
        <item x="104"/>
        <item x="177"/>
        <item x="243"/>
        <item x="248"/>
        <item x="224"/>
        <item x="171"/>
        <item x="275"/>
        <item x="264"/>
        <item x="101"/>
        <item x="311"/>
        <item x="15"/>
        <item x="146"/>
        <item x="221"/>
        <item x="130"/>
        <item x="291"/>
        <item x="58"/>
        <item x="51"/>
        <item x="75"/>
        <item x="259"/>
        <item x="164"/>
        <item x="338"/>
        <item x="265"/>
        <item x="18"/>
        <item x="203"/>
        <item x="4"/>
        <item x="191"/>
        <item x="16"/>
        <item x="30"/>
        <item x="157"/>
        <item x="218"/>
        <item x="162"/>
        <item x="42"/>
        <item x="21"/>
        <item x="29"/>
        <item x="273"/>
        <item x="59"/>
        <item x="200"/>
        <item x="193"/>
        <item x="73"/>
        <item x="208"/>
        <item x="32"/>
        <item x="23"/>
        <item x="335"/>
        <item x="93"/>
        <item x="253"/>
        <item x="137"/>
        <item x="167"/>
        <item x="11"/>
        <item x="297"/>
        <item x="223"/>
        <item x="87"/>
        <item x="236"/>
        <item x="147"/>
        <item x="295"/>
        <item x="318"/>
        <item x="136"/>
        <item x="122"/>
        <item x="50"/>
        <item x="127"/>
        <item x="77"/>
        <item x="252"/>
        <item x="284"/>
        <item x="53"/>
        <item x="210"/>
        <item x="274"/>
        <item x="65"/>
        <item x="103"/>
        <item x="314"/>
        <item x="72"/>
        <item x="85"/>
        <item x="321"/>
        <item x="211"/>
        <item x="110"/>
        <item x="310"/>
        <item x="8"/>
        <item x="48"/>
        <item x="292"/>
        <item x="139"/>
        <item x="293"/>
        <item x="237"/>
        <item x="286"/>
        <item x="37"/>
        <item x="57"/>
        <item x="242"/>
        <item x="294"/>
        <item x="159"/>
        <item x="260"/>
        <item x="125"/>
        <item x="207"/>
        <item x="153"/>
        <item x="261"/>
        <item x="55"/>
        <item x="240"/>
        <item x="0"/>
        <item x="160"/>
        <item x="7"/>
        <item x="168"/>
        <item x="39"/>
        <item x="307"/>
        <item x="234"/>
        <item x="219"/>
        <item x="95"/>
        <item x="62"/>
        <item x="247"/>
        <item x="244"/>
        <item x="238"/>
        <item x="132"/>
        <item x="41"/>
        <item x="336"/>
        <item x="166"/>
        <item x="317"/>
        <item t="default"/>
      </items>
    </pivotField>
    <pivotField showAll="0"/>
    <pivotField showAll="0">
      <items count="5">
        <item x="0"/>
        <item x="3"/>
        <item x="1"/>
        <item x="2"/>
        <item t="default"/>
      </items>
    </pivotField>
    <pivotField showAll="0"/>
    <pivotField showAll="0">
      <items count="6">
        <item x="2"/>
        <item x="0"/>
        <item x="3"/>
        <item x="4"/>
        <item x="1"/>
        <item t="default"/>
      </items>
    </pivotField>
    <pivotField showAll="0"/>
    <pivotField showAll="0"/>
    <pivotField dataField="1" showAll="0"/>
    <pivotField axis="axisPage" showAll="0">
      <items count="4">
        <item x="1"/>
        <item x="0"/>
        <item x="2"/>
        <item t="default"/>
      </items>
    </pivotField>
    <pivotField showAll="0">
      <items count="16">
        <item x="4"/>
        <item x="11"/>
        <item x="8"/>
        <item x="2"/>
        <item x="10"/>
        <item x="5"/>
        <item x="3"/>
        <item x="0"/>
        <item x="9"/>
        <item x="1"/>
        <item x="6"/>
        <item x="7"/>
        <item x="14"/>
        <item x="13"/>
        <item x="12"/>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pageFields count="1">
    <pageField fld="9" hier="-1"/>
  </pageFields>
  <dataFields count="1">
    <dataField name="Average of TotalAmount"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20624E-977F-4194-A877-67493C56CFC5}" name="KPI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C18" firstHeaderRow="1" firstDataRow="1" firstDataCol="0" rowPageCount="1" colPageCount="1"/>
  <pivotFields count="13">
    <pivotField showAll="0"/>
    <pivotField numFmtId="14" showAll="0">
      <items count="342">
        <item x="184"/>
        <item x="2"/>
        <item x="340"/>
        <item x="320"/>
        <item x="258"/>
        <item x="27"/>
        <item x="80"/>
        <item x="133"/>
        <item x="254"/>
        <item x="334"/>
        <item x="280"/>
        <item x="1"/>
        <item x="329"/>
        <item x="128"/>
        <item x="319"/>
        <item x="198"/>
        <item x="156"/>
        <item x="46"/>
        <item x="92"/>
        <item x="140"/>
        <item x="120"/>
        <item x="106"/>
        <item x="172"/>
        <item x="68"/>
        <item x="299"/>
        <item x="239"/>
        <item x="31"/>
        <item x="270"/>
        <item x="141"/>
        <item x="115"/>
        <item x="9"/>
        <item x="257"/>
        <item x="99"/>
        <item x="309"/>
        <item x="56"/>
        <item x="26"/>
        <item x="324"/>
        <item x="201"/>
        <item x="88"/>
        <item x="214"/>
        <item x="188"/>
        <item x="272"/>
        <item x="94"/>
        <item x="3"/>
        <item x="332"/>
        <item x="169"/>
        <item x="151"/>
        <item x="35"/>
        <item x="213"/>
        <item x="155"/>
        <item x="216"/>
        <item x="25"/>
        <item x="12"/>
        <item x="197"/>
        <item x="267"/>
        <item x="38"/>
        <item x="263"/>
        <item x="82"/>
        <item x="163"/>
        <item x="84"/>
        <item x="262"/>
        <item x="124"/>
        <item x="279"/>
        <item x="173"/>
        <item x="305"/>
        <item x="131"/>
        <item x="152"/>
        <item x="102"/>
        <item x="204"/>
        <item x="313"/>
        <item x="271"/>
        <item x="178"/>
        <item x="69"/>
        <item x="312"/>
        <item x="288"/>
        <item x="325"/>
        <item x="176"/>
        <item x="233"/>
        <item x="70"/>
        <item x="54"/>
        <item x="179"/>
        <item x="118"/>
        <item x="251"/>
        <item x="49"/>
        <item x="337"/>
        <item x="333"/>
        <item x="199"/>
        <item x="256"/>
        <item x="5"/>
        <item x="135"/>
        <item x="306"/>
        <item x="112"/>
        <item x="192"/>
        <item x="225"/>
        <item x="245"/>
        <item x="287"/>
        <item x="19"/>
        <item x="222"/>
        <item x="322"/>
        <item x="194"/>
        <item x="282"/>
        <item x="246"/>
        <item x="47"/>
        <item x="114"/>
        <item x="209"/>
        <item x="205"/>
        <item x="206"/>
        <item x="308"/>
        <item x="300"/>
        <item x="44"/>
        <item x="79"/>
        <item x="202"/>
        <item x="328"/>
        <item x="142"/>
        <item x="43"/>
        <item x="289"/>
        <item x="220"/>
        <item x="339"/>
        <item x="113"/>
        <item x="78"/>
        <item x="331"/>
        <item x="161"/>
        <item x="90"/>
        <item x="91"/>
        <item x="76"/>
        <item x="266"/>
        <item x="183"/>
        <item x="121"/>
        <item x="40"/>
        <item x="126"/>
        <item x="116"/>
        <item x="285"/>
        <item x="144"/>
        <item x="185"/>
        <item x="97"/>
        <item x="186"/>
        <item x="226"/>
        <item x="277"/>
        <item x="187"/>
        <item x="100"/>
        <item x="34"/>
        <item x="83"/>
        <item x="304"/>
        <item x="290"/>
        <item x="17"/>
        <item x="111"/>
        <item x="71"/>
        <item x="278"/>
        <item x="33"/>
        <item x="301"/>
        <item x="241"/>
        <item x="276"/>
        <item x="96"/>
        <item x="129"/>
        <item x="170"/>
        <item x="117"/>
        <item x="22"/>
        <item x="175"/>
        <item x="228"/>
        <item x="123"/>
        <item x="14"/>
        <item x="323"/>
        <item x="81"/>
        <item x="303"/>
        <item x="283"/>
        <item x="145"/>
        <item x="138"/>
        <item x="24"/>
        <item x="250"/>
        <item x="109"/>
        <item x="212"/>
        <item x="134"/>
        <item x="174"/>
        <item x="227"/>
        <item x="36"/>
        <item x="230"/>
        <item x="20"/>
        <item x="296"/>
        <item x="67"/>
        <item x="232"/>
        <item x="189"/>
        <item x="158"/>
        <item x="154"/>
        <item x="63"/>
        <item x="235"/>
        <item x="196"/>
        <item x="181"/>
        <item x="298"/>
        <item x="327"/>
        <item x="28"/>
        <item x="52"/>
        <item x="61"/>
        <item x="143"/>
        <item x="45"/>
        <item x="315"/>
        <item x="150"/>
        <item x="86"/>
        <item x="74"/>
        <item x="330"/>
        <item x="108"/>
        <item x="268"/>
        <item x="231"/>
        <item x="255"/>
        <item x="165"/>
        <item x="105"/>
        <item x="249"/>
        <item x="316"/>
        <item x="217"/>
        <item x="182"/>
        <item x="326"/>
        <item x="60"/>
        <item x="195"/>
        <item x="149"/>
        <item x="281"/>
        <item x="6"/>
        <item x="269"/>
        <item x="10"/>
        <item x="229"/>
        <item x="66"/>
        <item x="107"/>
        <item x="13"/>
        <item x="89"/>
        <item x="98"/>
        <item x="302"/>
        <item x="119"/>
        <item x="190"/>
        <item x="180"/>
        <item x="148"/>
        <item x="215"/>
        <item x="64"/>
        <item x="104"/>
        <item x="177"/>
        <item x="243"/>
        <item x="248"/>
        <item x="224"/>
        <item x="171"/>
        <item x="275"/>
        <item x="264"/>
        <item x="101"/>
        <item x="311"/>
        <item x="15"/>
        <item x="146"/>
        <item x="221"/>
        <item x="130"/>
        <item x="291"/>
        <item x="58"/>
        <item x="51"/>
        <item x="75"/>
        <item x="259"/>
        <item x="164"/>
        <item x="338"/>
        <item x="265"/>
        <item x="18"/>
        <item x="203"/>
        <item x="4"/>
        <item x="191"/>
        <item x="16"/>
        <item x="30"/>
        <item x="157"/>
        <item x="218"/>
        <item x="162"/>
        <item x="42"/>
        <item x="21"/>
        <item x="29"/>
        <item x="273"/>
        <item x="59"/>
        <item x="200"/>
        <item x="193"/>
        <item x="73"/>
        <item x="208"/>
        <item x="32"/>
        <item x="23"/>
        <item x="335"/>
        <item x="93"/>
        <item x="253"/>
        <item x="137"/>
        <item x="167"/>
        <item x="11"/>
        <item x="297"/>
        <item x="223"/>
        <item x="87"/>
        <item x="236"/>
        <item x="147"/>
        <item x="295"/>
        <item x="318"/>
        <item x="136"/>
        <item x="122"/>
        <item x="50"/>
        <item x="127"/>
        <item x="77"/>
        <item x="252"/>
        <item x="284"/>
        <item x="53"/>
        <item x="210"/>
        <item x="274"/>
        <item x="65"/>
        <item x="103"/>
        <item x="314"/>
        <item x="72"/>
        <item x="85"/>
        <item x="321"/>
        <item x="211"/>
        <item x="110"/>
        <item x="310"/>
        <item x="8"/>
        <item x="48"/>
        <item x="292"/>
        <item x="139"/>
        <item x="293"/>
        <item x="237"/>
        <item x="286"/>
        <item x="37"/>
        <item x="57"/>
        <item x="242"/>
        <item x="294"/>
        <item x="159"/>
        <item x="260"/>
        <item x="125"/>
        <item x="207"/>
        <item x="153"/>
        <item x="261"/>
        <item x="55"/>
        <item x="240"/>
        <item x="0"/>
        <item x="160"/>
        <item x="7"/>
        <item x="168"/>
        <item x="39"/>
        <item x="307"/>
        <item x="234"/>
        <item x="219"/>
        <item x="95"/>
        <item x="62"/>
        <item x="247"/>
        <item x="244"/>
        <item x="238"/>
        <item x="132"/>
        <item x="41"/>
        <item x="336"/>
        <item x="166"/>
        <item x="317"/>
        <item t="default"/>
      </items>
    </pivotField>
    <pivotField showAll="0"/>
    <pivotField showAll="0">
      <items count="5">
        <item x="0"/>
        <item x="3"/>
        <item x="1"/>
        <item x="2"/>
        <item t="default"/>
      </items>
    </pivotField>
    <pivotField showAll="0"/>
    <pivotField showAll="0">
      <items count="6">
        <item x="2"/>
        <item x="0"/>
        <item x="3"/>
        <item x="4"/>
        <item x="1"/>
        <item t="default"/>
      </items>
    </pivotField>
    <pivotField showAll="0"/>
    <pivotField showAll="0"/>
    <pivotField dataField="1" showAll="0"/>
    <pivotField axis="axisPage" multipleItemSelectionAllowed="1" showAll="0">
      <items count="4">
        <item x="1"/>
        <item h="1" x="0"/>
        <item h="1" x="2"/>
        <item t="default"/>
      </items>
    </pivotField>
    <pivotField showAll="0">
      <items count="16">
        <item x="4"/>
        <item x="11"/>
        <item x="8"/>
        <item x="2"/>
        <item x="10"/>
        <item x="5"/>
        <item x="3"/>
        <item x="0"/>
        <item x="9"/>
        <item x="1"/>
        <item x="6"/>
        <item x="7"/>
        <item x="14"/>
        <item x="13"/>
        <item x="12"/>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pageFields count="1">
    <pageField fld="9" hier="-1"/>
  </pageFields>
  <dataFields count="1">
    <dataField name="Count of TotalAmount"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FF7DAD-15D0-46DB-84A9-67DE1EED6A63}" name="KPI"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C14" firstHeaderRow="1" firstDataRow="1" firstDataCol="0" rowPageCount="1" colPageCount="1"/>
  <pivotFields count="13">
    <pivotField showAll="0"/>
    <pivotField numFmtId="14" showAll="0">
      <items count="342">
        <item x="184"/>
        <item x="2"/>
        <item x="340"/>
        <item x="320"/>
        <item x="258"/>
        <item x="27"/>
        <item x="80"/>
        <item x="133"/>
        <item x="254"/>
        <item x="334"/>
        <item x="280"/>
        <item x="1"/>
        <item x="329"/>
        <item x="128"/>
        <item x="319"/>
        <item x="198"/>
        <item x="156"/>
        <item x="46"/>
        <item x="92"/>
        <item x="140"/>
        <item x="120"/>
        <item x="106"/>
        <item x="172"/>
        <item x="68"/>
        <item x="299"/>
        <item x="239"/>
        <item x="31"/>
        <item x="270"/>
        <item x="141"/>
        <item x="115"/>
        <item x="9"/>
        <item x="257"/>
        <item x="99"/>
        <item x="309"/>
        <item x="56"/>
        <item x="26"/>
        <item x="324"/>
        <item x="201"/>
        <item x="88"/>
        <item x="214"/>
        <item x="188"/>
        <item x="272"/>
        <item x="94"/>
        <item x="3"/>
        <item x="332"/>
        <item x="169"/>
        <item x="151"/>
        <item x="35"/>
        <item x="213"/>
        <item x="155"/>
        <item x="216"/>
        <item x="25"/>
        <item x="12"/>
        <item x="197"/>
        <item x="267"/>
        <item x="38"/>
        <item x="263"/>
        <item x="82"/>
        <item x="163"/>
        <item x="84"/>
        <item x="262"/>
        <item x="124"/>
        <item x="279"/>
        <item x="173"/>
        <item x="305"/>
        <item x="131"/>
        <item x="152"/>
        <item x="102"/>
        <item x="204"/>
        <item x="313"/>
        <item x="271"/>
        <item x="178"/>
        <item x="69"/>
        <item x="312"/>
        <item x="288"/>
        <item x="325"/>
        <item x="176"/>
        <item x="233"/>
        <item x="70"/>
        <item x="54"/>
        <item x="179"/>
        <item x="118"/>
        <item x="251"/>
        <item x="49"/>
        <item x="337"/>
        <item x="333"/>
        <item x="199"/>
        <item x="256"/>
        <item x="5"/>
        <item x="135"/>
        <item x="306"/>
        <item x="112"/>
        <item x="192"/>
        <item x="225"/>
        <item x="245"/>
        <item x="287"/>
        <item x="19"/>
        <item x="222"/>
        <item x="322"/>
        <item x="194"/>
        <item x="282"/>
        <item x="246"/>
        <item x="47"/>
        <item x="114"/>
        <item x="209"/>
        <item x="205"/>
        <item x="206"/>
        <item x="308"/>
        <item x="300"/>
        <item x="44"/>
        <item x="79"/>
        <item x="202"/>
        <item x="328"/>
        <item x="142"/>
        <item x="43"/>
        <item x="289"/>
        <item x="220"/>
        <item x="339"/>
        <item x="113"/>
        <item x="78"/>
        <item x="331"/>
        <item x="161"/>
        <item x="90"/>
        <item x="91"/>
        <item x="76"/>
        <item x="266"/>
        <item x="183"/>
        <item x="121"/>
        <item x="40"/>
        <item x="126"/>
        <item x="116"/>
        <item x="285"/>
        <item x="144"/>
        <item x="185"/>
        <item x="97"/>
        <item x="186"/>
        <item x="226"/>
        <item x="277"/>
        <item x="187"/>
        <item x="100"/>
        <item x="34"/>
        <item x="83"/>
        <item x="304"/>
        <item x="290"/>
        <item x="17"/>
        <item x="111"/>
        <item x="71"/>
        <item x="278"/>
        <item x="33"/>
        <item x="301"/>
        <item x="241"/>
        <item x="276"/>
        <item x="96"/>
        <item x="129"/>
        <item x="170"/>
        <item x="117"/>
        <item x="22"/>
        <item x="175"/>
        <item x="228"/>
        <item x="123"/>
        <item x="14"/>
        <item x="323"/>
        <item x="81"/>
        <item x="303"/>
        <item x="283"/>
        <item x="145"/>
        <item x="138"/>
        <item x="24"/>
        <item x="250"/>
        <item x="109"/>
        <item x="212"/>
        <item x="134"/>
        <item x="174"/>
        <item x="227"/>
        <item x="36"/>
        <item x="230"/>
        <item x="20"/>
        <item x="296"/>
        <item x="67"/>
        <item x="232"/>
        <item x="189"/>
        <item x="158"/>
        <item x="154"/>
        <item x="63"/>
        <item x="235"/>
        <item x="196"/>
        <item x="181"/>
        <item x="298"/>
        <item x="327"/>
        <item x="28"/>
        <item x="52"/>
        <item x="61"/>
        <item x="143"/>
        <item x="45"/>
        <item x="315"/>
        <item x="150"/>
        <item x="86"/>
        <item x="74"/>
        <item x="330"/>
        <item x="108"/>
        <item x="268"/>
        <item x="231"/>
        <item x="255"/>
        <item x="165"/>
        <item x="105"/>
        <item x="249"/>
        <item x="316"/>
        <item x="217"/>
        <item x="182"/>
        <item x="326"/>
        <item x="60"/>
        <item x="195"/>
        <item x="149"/>
        <item x="281"/>
        <item x="6"/>
        <item x="269"/>
        <item x="10"/>
        <item x="229"/>
        <item x="66"/>
        <item x="107"/>
        <item x="13"/>
        <item x="89"/>
        <item x="98"/>
        <item x="302"/>
        <item x="119"/>
        <item x="190"/>
        <item x="180"/>
        <item x="148"/>
        <item x="215"/>
        <item x="64"/>
        <item x="104"/>
        <item x="177"/>
        <item x="243"/>
        <item x="248"/>
        <item x="224"/>
        <item x="171"/>
        <item x="275"/>
        <item x="264"/>
        <item x="101"/>
        <item x="311"/>
        <item x="15"/>
        <item x="146"/>
        <item x="221"/>
        <item x="130"/>
        <item x="291"/>
        <item x="58"/>
        <item x="51"/>
        <item x="75"/>
        <item x="259"/>
        <item x="164"/>
        <item x="338"/>
        <item x="265"/>
        <item x="18"/>
        <item x="203"/>
        <item x="4"/>
        <item x="191"/>
        <item x="16"/>
        <item x="30"/>
        <item x="157"/>
        <item x="218"/>
        <item x="162"/>
        <item x="42"/>
        <item x="21"/>
        <item x="29"/>
        <item x="273"/>
        <item x="59"/>
        <item x="200"/>
        <item x="193"/>
        <item x="73"/>
        <item x="208"/>
        <item x="32"/>
        <item x="23"/>
        <item x="335"/>
        <item x="93"/>
        <item x="253"/>
        <item x="137"/>
        <item x="167"/>
        <item x="11"/>
        <item x="297"/>
        <item x="223"/>
        <item x="87"/>
        <item x="236"/>
        <item x="147"/>
        <item x="295"/>
        <item x="318"/>
        <item x="136"/>
        <item x="122"/>
        <item x="50"/>
        <item x="127"/>
        <item x="77"/>
        <item x="252"/>
        <item x="284"/>
        <item x="53"/>
        <item x="210"/>
        <item x="274"/>
        <item x="65"/>
        <item x="103"/>
        <item x="314"/>
        <item x="72"/>
        <item x="85"/>
        <item x="321"/>
        <item x="211"/>
        <item x="110"/>
        <item x="310"/>
        <item x="8"/>
        <item x="48"/>
        <item x="292"/>
        <item x="139"/>
        <item x="293"/>
        <item x="237"/>
        <item x="286"/>
        <item x="37"/>
        <item x="57"/>
        <item x="242"/>
        <item x="294"/>
        <item x="159"/>
        <item x="260"/>
        <item x="125"/>
        <item x="207"/>
        <item x="153"/>
        <item x="261"/>
        <item x="55"/>
        <item x="240"/>
        <item x="0"/>
        <item x="160"/>
        <item x="7"/>
        <item x="168"/>
        <item x="39"/>
        <item x="307"/>
        <item x="234"/>
        <item x="219"/>
        <item x="95"/>
        <item x="62"/>
        <item x="247"/>
        <item x="244"/>
        <item x="238"/>
        <item x="132"/>
        <item x="41"/>
        <item x="336"/>
        <item x="166"/>
        <item x="317"/>
        <item t="default"/>
      </items>
    </pivotField>
    <pivotField showAll="0"/>
    <pivotField showAll="0">
      <items count="5">
        <item x="0"/>
        <item x="3"/>
        <item x="1"/>
        <item x="2"/>
        <item t="default"/>
      </items>
    </pivotField>
    <pivotField showAll="0"/>
    <pivotField showAll="0">
      <items count="6">
        <item x="2"/>
        <item x="0"/>
        <item x="3"/>
        <item x="4"/>
        <item x="1"/>
        <item t="default"/>
      </items>
    </pivotField>
    <pivotField showAll="0"/>
    <pivotField showAll="0"/>
    <pivotField dataField="1" showAll="0"/>
    <pivotField axis="axisPage" multipleItemSelectionAllowed="1" showAll="0">
      <items count="4">
        <item h="1" x="1"/>
        <item x="0"/>
        <item h="1" x="2"/>
        <item t="default"/>
      </items>
    </pivotField>
    <pivotField showAll="0">
      <items count="16">
        <item x="4"/>
        <item x="11"/>
        <item x="8"/>
        <item x="2"/>
        <item x="10"/>
        <item x="5"/>
        <item x="3"/>
        <item x="0"/>
        <item x="9"/>
        <item x="1"/>
        <item x="6"/>
        <item x="7"/>
        <item x="14"/>
        <item x="13"/>
        <item x="12"/>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pageFields count="1">
    <pageField fld="9" hier="-1"/>
  </pageFields>
  <dataFields count="1">
    <dataField name="Sum of Total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D1FCE8-7177-45E7-9229-C2C4E27AA48D}" name="Q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3:Q16" firstHeaderRow="1" firstDataRow="1" firstDataCol="1"/>
  <pivotFields count="13">
    <pivotField showAll="0"/>
    <pivotField axis="axisRow" numFmtId="14" showAll="0">
      <items count="342">
        <item x="184"/>
        <item x="2"/>
        <item x="340"/>
        <item x="320"/>
        <item x="258"/>
        <item x="27"/>
        <item x="80"/>
        <item x="133"/>
        <item x="254"/>
        <item x="334"/>
        <item x="280"/>
        <item x="1"/>
        <item x="329"/>
        <item x="128"/>
        <item x="319"/>
        <item x="198"/>
        <item x="156"/>
        <item x="46"/>
        <item x="92"/>
        <item x="140"/>
        <item x="120"/>
        <item x="106"/>
        <item x="172"/>
        <item x="68"/>
        <item x="299"/>
        <item x="239"/>
        <item x="31"/>
        <item x="270"/>
        <item x="141"/>
        <item x="115"/>
        <item x="9"/>
        <item x="257"/>
        <item x="99"/>
        <item x="309"/>
        <item x="56"/>
        <item x="26"/>
        <item x="324"/>
        <item x="201"/>
        <item x="88"/>
        <item x="214"/>
        <item x="188"/>
        <item x="272"/>
        <item x="94"/>
        <item x="3"/>
        <item x="332"/>
        <item x="169"/>
        <item x="151"/>
        <item x="35"/>
        <item x="213"/>
        <item x="155"/>
        <item x="216"/>
        <item x="25"/>
        <item x="12"/>
        <item x="197"/>
        <item x="267"/>
        <item x="38"/>
        <item x="263"/>
        <item x="82"/>
        <item x="163"/>
        <item x="84"/>
        <item x="262"/>
        <item x="124"/>
        <item x="279"/>
        <item x="173"/>
        <item x="305"/>
        <item x="131"/>
        <item x="152"/>
        <item x="102"/>
        <item x="204"/>
        <item x="313"/>
        <item x="271"/>
        <item x="178"/>
        <item x="69"/>
        <item x="312"/>
        <item x="288"/>
        <item x="325"/>
        <item x="176"/>
        <item x="233"/>
        <item x="70"/>
        <item x="54"/>
        <item x="179"/>
        <item x="118"/>
        <item x="251"/>
        <item x="49"/>
        <item x="337"/>
        <item x="333"/>
        <item x="199"/>
        <item x="256"/>
        <item x="5"/>
        <item x="135"/>
        <item x="306"/>
        <item x="112"/>
        <item x="192"/>
        <item x="225"/>
        <item x="245"/>
        <item x="287"/>
        <item x="19"/>
        <item x="222"/>
        <item x="322"/>
        <item x="194"/>
        <item x="282"/>
        <item x="246"/>
        <item x="47"/>
        <item x="114"/>
        <item x="209"/>
        <item x="205"/>
        <item x="206"/>
        <item x="308"/>
        <item x="300"/>
        <item x="44"/>
        <item x="79"/>
        <item x="202"/>
        <item x="328"/>
        <item x="142"/>
        <item x="43"/>
        <item x="289"/>
        <item x="220"/>
        <item x="339"/>
        <item x="113"/>
        <item x="78"/>
        <item x="331"/>
        <item x="161"/>
        <item x="90"/>
        <item x="91"/>
        <item x="76"/>
        <item x="266"/>
        <item x="183"/>
        <item x="121"/>
        <item x="40"/>
        <item x="126"/>
        <item x="116"/>
        <item x="285"/>
        <item x="144"/>
        <item x="185"/>
        <item x="97"/>
        <item x="186"/>
        <item x="226"/>
        <item x="277"/>
        <item x="187"/>
        <item x="100"/>
        <item x="34"/>
        <item x="83"/>
        <item x="304"/>
        <item x="290"/>
        <item x="17"/>
        <item x="111"/>
        <item x="71"/>
        <item x="278"/>
        <item x="33"/>
        <item x="301"/>
        <item x="241"/>
        <item x="276"/>
        <item x="96"/>
        <item x="129"/>
        <item x="170"/>
        <item x="117"/>
        <item x="22"/>
        <item x="175"/>
        <item x="228"/>
        <item x="123"/>
        <item x="14"/>
        <item x="323"/>
        <item x="81"/>
        <item x="303"/>
        <item x="283"/>
        <item x="145"/>
        <item x="138"/>
        <item x="24"/>
        <item x="250"/>
        <item x="109"/>
        <item x="212"/>
        <item x="134"/>
        <item x="174"/>
        <item x="227"/>
        <item x="36"/>
        <item x="230"/>
        <item x="20"/>
        <item x="296"/>
        <item x="67"/>
        <item x="232"/>
        <item x="189"/>
        <item x="158"/>
        <item x="154"/>
        <item x="63"/>
        <item x="235"/>
        <item x="196"/>
        <item x="181"/>
        <item x="298"/>
        <item x="327"/>
        <item x="28"/>
        <item x="52"/>
        <item x="61"/>
        <item x="143"/>
        <item x="45"/>
        <item x="315"/>
        <item x="150"/>
        <item x="86"/>
        <item x="74"/>
        <item x="330"/>
        <item x="108"/>
        <item x="268"/>
        <item x="231"/>
        <item x="255"/>
        <item x="165"/>
        <item x="105"/>
        <item x="249"/>
        <item x="316"/>
        <item x="217"/>
        <item x="182"/>
        <item x="326"/>
        <item x="60"/>
        <item x="195"/>
        <item x="149"/>
        <item x="281"/>
        <item x="6"/>
        <item x="269"/>
        <item x="10"/>
        <item x="229"/>
        <item x="66"/>
        <item x="107"/>
        <item x="13"/>
        <item x="89"/>
        <item x="98"/>
        <item x="302"/>
        <item x="119"/>
        <item x="190"/>
        <item x="180"/>
        <item x="148"/>
        <item x="215"/>
        <item x="64"/>
        <item x="104"/>
        <item x="177"/>
        <item x="243"/>
        <item x="248"/>
        <item x="224"/>
        <item x="171"/>
        <item x="275"/>
        <item x="264"/>
        <item x="101"/>
        <item x="311"/>
        <item x="15"/>
        <item x="146"/>
        <item x="221"/>
        <item x="130"/>
        <item x="291"/>
        <item x="58"/>
        <item x="51"/>
        <item x="75"/>
        <item x="259"/>
        <item x="164"/>
        <item x="338"/>
        <item x="265"/>
        <item x="18"/>
        <item x="203"/>
        <item x="4"/>
        <item x="191"/>
        <item x="16"/>
        <item x="30"/>
        <item x="157"/>
        <item x="218"/>
        <item x="162"/>
        <item x="42"/>
        <item x="21"/>
        <item x="29"/>
        <item x="273"/>
        <item x="59"/>
        <item x="200"/>
        <item x="193"/>
        <item x="73"/>
        <item x="208"/>
        <item x="32"/>
        <item x="23"/>
        <item x="335"/>
        <item x="93"/>
        <item x="253"/>
        <item x="137"/>
        <item x="167"/>
        <item x="11"/>
        <item x="297"/>
        <item x="223"/>
        <item x="87"/>
        <item x="236"/>
        <item x="147"/>
        <item x="295"/>
        <item x="318"/>
        <item x="136"/>
        <item x="122"/>
        <item x="50"/>
        <item x="127"/>
        <item x="77"/>
        <item x="252"/>
        <item x="284"/>
        <item x="53"/>
        <item x="210"/>
        <item x="274"/>
        <item x="65"/>
        <item x="103"/>
        <item x="314"/>
        <item x="72"/>
        <item x="85"/>
        <item x="321"/>
        <item x="211"/>
        <item x="110"/>
        <item x="310"/>
        <item x="8"/>
        <item x="48"/>
        <item x="292"/>
        <item x="139"/>
        <item x="293"/>
        <item x="237"/>
        <item x="286"/>
        <item x="37"/>
        <item x="57"/>
        <item x="242"/>
        <item x="294"/>
        <item x="159"/>
        <item x="260"/>
        <item x="125"/>
        <item x="207"/>
        <item x="153"/>
        <item x="261"/>
        <item x="55"/>
        <item x="240"/>
        <item x="0"/>
        <item x="160"/>
        <item x="7"/>
        <item x="168"/>
        <item x="39"/>
        <item x="307"/>
        <item x="234"/>
        <item x="219"/>
        <item x="95"/>
        <item x="62"/>
        <item x="247"/>
        <item x="244"/>
        <item x="238"/>
        <item x="132"/>
        <item x="41"/>
        <item x="336"/>
        <item x="166"/>
        <item x="317"/>
        <item t="default"/>
      </items>
    </pivotField>
    <pivotField showAll="0"/>
    <pivotField showAll="0">
      <items count="5">
        <item x="0"/>
        <item x="3"/>
        <item x="1"/>
        <item x="2"/>
        <item t="default"/>
      </items>
    </pivotField>
    <pivotField showAll="0"/>
    <pivotField showAll="0">
      <items count="6">
        <item x="2"/>
        <item x="0"/>
        <item x="3"/>
        <item x="4"/>
        <item x="1"/>
        <item t="default"/>
      </items>
    </pivotField>
    <pivotField showAll="0"/>
    <pivotField showAll="0"/>
    <pivotField dataField="1" showAll="0"/>
    <pivotField showAll="0"/>
    <pivotField showAll="0">
      <items count="16">
        <item x="4"/>
        <item x="11"/>
        <item x="8"/>
        <item x="2"/>
        <item x="10"/>
        <item x="5"/>
        <item x="3"/>
        <item x="0"/>
        <item x="9"/>
        <item x="1"/>
        <item x="6"/>
        <item x="7"/>
        <item x="14"/>
        <item x="13"/>
        <item x="1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1"/>
  </rowFields>
  <rowItems count="13">
    <i>
      <x v="1"/>
    </i>
    <i>
      <x v="2"/>
    </i>
    <i>
      <x v="3"/>
    </i>
    <i>
      <x v="4"/>
    </i>
    <i>
      <x v="5"/>
    </i>
    <i>
      <x v="6"/>
    </i>
    <i>
      <x v="7"/>
    </i>
    <i>
      <x v="8"/>
    </i>
    <i>
      <x v="9"/>
    </i>
    <i>
      <x v="10"/>
    </i>
    <i>
      <x v="11"/>
    </i>
    <i>
      <x v="12"/>
    </i>
    <i t="grand">
      <x/>
    </i>
  </rowItems>
  <colItems count="1">
    <i/>
  </colItems>
  <dataFields count="1">
    <dataField name="Sum of TotalAmount" fld="8"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696312-3A51-412E-808C-76E7510F55E8}" name="Q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N17" firstHeaderRow="1" firstDataRow="2"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numFmtId="14" showAll="0">
      <items count="342">
        <item x="184"/>
        <item x="2"/>
        <item x="340"/>
        <item x="320"/>
        <item x="258"/>
        <item x="27"/>
        <item x="80"/>
        <item x="133"/>
        <item x="254"/>
        <item x="334"/>
        <item x="280"/>
        <item x="1"/>
        <item x="329"/>
        <item x="128"/>
        <item x="319"/>
        <item x="198"/>
        <item x="156"/>
        <item x="46"/>
        <item x="92"/>
        <item x="140"/>
        <item x="120"/>
        <item x="106"/>
        <item x="172"/>
        <item x="68"/>
        <item x="299"/>
        <item x="239"/>
        <item x="31"/>
        <item x="270"/>
        <item x="141"/>
        <item x="115"/>
        <item x="9"/>
        <item x="257"/>
        <item x="99"/>
        <item x="309"/>
        <item x="56"/>
        <item x="26"/>
        <item x="324"/>
        <item x="201"/>
        <item x="88"/>
        <item x="214"/>
        <item x="188"/>
        <item x="272"/>
        <item x="94"/>
        <item x="3"/>
        <item x="332"/>
        <item x="169"/>
        <item x="151"/>
        <item x="35"/>
        <item x="213"/>
        <item x="155"/>
        <item x="216"/>
        <item x="25"/>
        <item x="12"/>
        <item x="197"/>
        <item x="267"/>
        <item x="38"/>
        <item x="263"/>
        <item x="82"/>
        <item x="163"/>
        <item x="84"/>
        <item x="262"/>
        <item x="124"/>
        <item x="279"/>
        <item x="173"/>
        <item x="305"/>
        <item x="131"/>
        <item x="152"/>
        <item x="102"/>
        <item x="204"/>
        <item x="313"/>
        <item x="271"/>
        <item x="178"/>
        <item x="69"/>
        <item x="312"/>
        <item x="288"/>
        <item x="325"/>
        <item x="176"/>
        <item x="233"/>
        <item x="70"/>
        <item x="54"/>
        <item x="179"/>
        <item x="118"/>
        <item x="251"/>
        <item x="49"/>
        <item x="337"/>
        <item x="333"/>
        <item x="199"/>
        <item x="256"/>
        <item x="5"/>
        <item x="135"/>
        <item x="306"/>
        <item x="112"/>
        <item x="192"/>
        <item x="225"/>
        <item x="245"/>
        <item x="287"/>
        <item x="19"/>
        <item x="222"/>
        <item x="322"/>
        <item x="194"/>
        <item x="282"/>
        <item x="246"/>
        <item x="47"/>
        <item x="114"/>
        <item x="209"/>
        <item x="205"/>
        <item x="206"/>
        <item x="308"/>
        <item x="300"/>
        <item x="44"/>
        <item x="79"/>
        <item x="202"/>
        <item x="328"/>
        <item x="142"/>
        <item x="43"/>
        <item x="289"/>
        <item x="220"/>
        <item x="339"/>
        <item x="113"/>
        <item x="78"/>
        <item x="331"/>
        <item x="161"/>
        <item x="90"/>
        <item x="91"/>
        <item x="76"/>
        <item x="266"/>
        <item x="183"/>
        <item x="121"/>
        <item x="40"/>
        <item x="126"/>
        <item x="116"/>
        <item x="285"/>
        <item x="144"/>
        <item x="185"/>
        <item x="97"/>
        <item x="186"/>
        <item x="226"/>
        <item x="277"/>
        <item x="187"/>
        <item x="100"/>
        <item x="34"/>
        <item x="83"/>
        <item x="304"/>
        <item x="290"/>
        <item x="17"/>
        <item x="111"/>
        <item x="71"/>
        <item x="278"/>
        <item x="33"/>
        <item x="301"/>
        <item x="241"/>
        <item x="276"/>
        <item x="96"/>
        <item x="129"/>
        <item x="170"/>
        <item x="117"/>
        <item x="22"/>
        <item x="175"/>
        <item x="228"/>
        <item x="123"/>
        <item x="14"/>
        <item x="323"/>
        <item x="81"/>
        <item x="303"/>
        <item x="283"/>
        <item x="145"/>
        <item x="138"/>
        <item x="24"/>
        <item x="250"/>
        <item x="109"/>
        <item x="212"/>
        <item x="134"/>
        <item x="174"/>
        <item x="227"/>
        <item x="36"/>
        <item x="230"/>
        <item x="20"/>
        <item x="296"/>
        <item x="67"/>
        <item x="232"/>
        <item x="189"/>
        <item x="158"/>
        <item x="154"/>
        <item x="63"/>
        <item x="235"/>
        <item x="196"/>
        <item x="181"/>
        <item x="298"/>
        <item x="327"/>
        <item x="28"/>
        <item x="52"/>
        <item x="61"/>
        <item x="143"/>
        <item x="45"/>
        <item x="315"/>
        <item x="150"/>
        <item x="86"/>
        <item x="74"/>
        <item x="330"/>
        <item x="108"/>
        <item x="268"/>
        <item x="231"/>
        <item x="255"/>
        <item x="165"/>
        <item x="105"/>
        <item x="249"/>
        <item x="316"/>
        <item x="217"/>
        <item x="182"/>
        <item x="326"/>
        <item x="60"/>
        <item x="195"/>
        <item x="149"/>
        <item x="281"/>
        <item x="6"/>
        <item x="269"/>
        <item x="10"/>
        <item x="229"/>
        <item x="66"/>
        <item x="107"/>
        <item x="13"/>
        <item x="89"/>
        <item x="98"/>
        <item x="302"/>
        <item x="119"/>
        <item x="190"/>
        <item x="180"/>
        <item x="148"/>
        <item x="215"/>
        <item x="64"/>
        <item x="104"/>
        <item x="177"/>
        <item x="243"/>
        <item x="248"/>
        <item x="224"/>
        <item x="171"/>
        <item x="275"/>
        <item x="264"/>
        <item x="101"/>
        <item x="311"/>
        <item x="15"/>
        <item x="146"/>
        <item x="221"/>
        <item x="130"/>
        <item x="291"/>
        <item x="58"/>
        <item x="51"/>
        <item x="75"/>
        <item x="259"/>
        <item x="164"/>
        <item x="338"/>
        <item x="265"/>
        <item x="18"/>
        <item x="203"/>
        <item x="4"/>
        <item x="191"/>
        <item x="16"/>
        <item x="30"/>
        <item x="157"/>
        <item x="218"/>
        <item x="162"/>
        <item x="42"/>
        <item x="21"/>
        <item x="29"/>
        <item x="273"/>
        <item x="59"/>
        <item x="200"/>
        <item x="193"/>
        <item x="73"/>
        <item x="208"/>
        <item x="32"/>
        <item x="23"/>
        <item x="335"/>
        <item x="93"/>
        <item x="253"/>
        <item x="137"/>
        <item x="167"/>
        <item x="11"/>
        <item x="297"/>
        <item x="223"/>
        <item x="87"/>
        <item x="236"/>
        <item x="147"/>
        <item x="295"/>
        <item x="318"/>
        <item x="136"/>
        <item x="122"/>
        <item x="50"/>
        <item x="127"/>
        <item x="77"/>
        <item x="252"/>
        <item x="284"/>
        <item x="53"/>
        <item x="210"/>
        <item x="274"/>
        <item x="65"/>
        <item x="103"/>
        <item x="314"/>
        <item x="72"/>
        <item x="85"/>
        <item x="321"/>
        <item x="211"/>
        <item x="110"/>
        <item x="310"/>
        <item x="8"/>
        <item x="48"/>
        <item x="292"/>
        <item x="139"/>
        <item x="293"/>
        <item x="237"/>
        <item x="286"/>
        <item x="37"/>
        <item x="57"/>
        <item x="242"/>
        <item x="294"/>
        <item x="159"/>
        <item x="260"/>
        <item x="125"/>
        <item x="207"/>
        <item x="153"/>
        <item x="261"/>
        <item x="55"/>
        <item x="240"/>
        <item x="0"/>
        <item x="160"/>
        <item x="7"/>
        <item x="168"/>
        <item x="39"/>
        <item x="307"/>
        <item x="234"/>
        <item x="219"/>
        <item x="95"/>
        <item x="62"/>
        <item x="247"/>
        <item x="244"/>
        <item x="238"/>
        <item x="132"/>
        <item x="41"/>
        <item x="336"/>
        <item x="166"/>
        <item x="317"/>
        <item t="default"/>
      </items>
    </pivotField>
    <pivotField showAll="0"/>
    <pivotField showAll="0">
      <items count="5">
        <item x="0"/>
        <item x="3"/>
        <item x="1"/>
        <item x="2"/>
        <item t="default"/>
      </items>
    </pivotField>
    <pivotField showAll="0"/>
    <pivotField showAll="0">
      <items count="6">
        <item x="2"/>
        <item x="0"/>
        <item x="3"/>
        <item x="4"/>
        <item x="1"/>
        <item t="default"/>
      </items>
    </pivotField>
    <pivotField showAll="0"/>
    <pivotField showAll="0"/>
    <pivotField dataField="1" showAll="0"/>
    <pivotField axis="axisCol" showAll="0">
      <items count="4">
        <item x="1"/>
        <item x="0"/>
        <item x="2"/>
        <item t="default"/>
      </items>
    </pivotField>
    <pivotField showAll="0">
      <items count="16">
        <item x="4"/>
        <item x="11"/>
        <item x="8"/>
        <item x="2"/>
        <item x="10"/>
        <item x="5"/>
        <item x="3"/>
        <item x="0"/>
        <item x="9"/>
        <item x="1"/>
        <item x="6"/>
        <item x="7"/>
        <item x="14"/>
        <item x="13"/>
        <item x="1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1"/>
  </rowFields>
  <rowItems count="13">
    <i>
      <x v="1"/>
    </i>
    <i>
      <x v="2"/>
    </i>
    <i>
      <x v="3"/>
    </i>
    <i>
      <x v="4"/>
    </i>
    <i>
      <x v="5"/>
    </i>
    <i>
      <x v="6"/>
    </i>
    <i>
      <x v="7"/>
    </i>
    <i>
      <x v="8"/>
    </i>
    <i>
      <x v="9"/>
    </i>
    <i>
      <x v="10"/>
    </i>
    <i>
      <x v="11"/>
    </i>
    <i>
      <x v="12"/>
    </i>
    <i t="grand">
      <x/>
    </i>
  </rowItems>
  <colFields count="1">
    <field x="9"/>
  </colFields>
  <colItems count="4">
    <i>
      <x/>
    </i>
    <i>
      <x v="1"/>
    </i>
    <i>
      <x v="2"/>
    </i>
    <i t="grand">
      <x/>
    </i>
  </colItems>
  <dataFields count="1">
    <dataField name="Sum of TotalAmount" fld="8" baseField="0" baseItem="0"/>
  </dataFields>
  <chartFormats count="8">
    <chartFormat chart="0" format="3" series="1">
      <pivotArea type="data" outline="0" fieldPosition="0">
        <references count="1">
          <reference field="9" count="1" selected="0">
            <x v="0"/>
          </reference>
        </references>
      </pivotArea>
    </chartFormat>
    <chartFormat chart="0" format="4" series="1">
      <pivotArea type="data" outline="0" fieldPosition="0">
        <references count="1">
          <reference field="9" count="1" selected="0">
            <x v="1"/>
          </reference>
        </references>
      </pivotArea>
    </chartFormat>
    <chartFormat chart="0" format="5" series="1">
      <pivotArea type="data" outline="0" fieldPosition="0">
        <references count="1">
          <reference field="9" count="1" selected="0">
            <x v="2"/>
          </reference>
        </references>
      </pivotArea>
    </chartFormat>
    <chartFormat chart="7" format="9" series="1">
      <pivotArea type="data" outline="0" fieldPosition="0">
        <references count="2">
          <reference field="4294967294" count="1" selected="0">
            <x v="0"/>
          </reference>
          <reference field="9" count="1" selected="0">
            <x v="0"/>
          </reference>
        </references>
      </pivotArea>
    </chartFormat>
    <chartFormat chart="7" format="10" series="1">
      <pivotArea type="data" outline="0" fieldPosition="0">
        <references count="2">
          <reference field="4294967294" count="1" selected="0">
            <x v="0"/>
          </reference>
          <reference field="9" count="1" selected="0">
            <x v="1"/>
          </reference>
        </references>
      </pivotArea>
    </chartFormat>
    <chartFormat chart="7" format="11" series="1">
      <pivotArea type="data" outline="0" fieldPosition="0">
        <references count="2">
          <reference field="4294967294" count="1" selected="0">
            <x v="0"/>
          </reference>
          <reference field="9" count="1" selected="0">
            <x v="2"/>
          </reference>
        </references>
      </pivotArea>
    </chartFormat>
    <chartFormat chart="0" format="6" series="1">
      <pivotArea type="data" outline="0" fieldPosition="0">
        <references count="2">
          <reference field="4294967294" count="1" selected="0">
            <x v="0"/>
          </reference>
          <reference field="9" count="1" selected="0">
            <x v="2"/>
          </reference>
        </references>
      </pivotArea>
    </chartFormat>
    <chartFormat chart="0" format="7"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9B1E4D-C0FF-4469-9E84-F78901A56DC7}" name="Q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13">
    <pivotField showAll="0"/>
    <pivotField numFmtId="14" showAll="0">
      <items count="342">
        <item x="184"/>
        <item x="2"/>
        <item x="340"/>
        <item x="320"/>
        <item x="258"/>
        <item x="27"/>
        <item x="80"/>
        <item x="133"/>
        <item x="254"/>
        <item x="334"/>
        <item x="280"/>
        <item x="1"/>
        <item x="329"/>
        <item x="128"/>
        <item x="319"/>
        <item x="198"/>
        <item x="156"/>
        <item x="46"/>
        <item x="92"/>
        <item x="140"/>
        <item x="120"/>
        <item x="106"/>
        <item x="172"/>
        <item x="68"/>
        <item x="299"/>
        <item x="239"/>
        <item x="31"/>
        <item x="270"/>
        <item x="141"/>
        <item x="115"/>
        <item x="9"/>
        <item x="257"/>
        <item x="99"/>
        <item x="309"/>
        <item x="56"/>
        <item x="26"/>
        <item x="324"/>
        <item x="201"/>
        <item x="88"/>
        <item x="214"/>
        <item x="188"/>
        <item x="272"/>
        <item x="94"/>
        <item x="3"/>
        <item x="332"/>
        <item x="169"/>
        <item x="151"/>
        <item x="35"/>
        <item x="213"/>
        <item x="155"/>
        <item x="216"/>
        <item x="25"/>
        <item x="12"/>
        <item x="197"/>
        <item x="267"/>
        <item x="38"/>
        <item x="263"/>
        <item x="82"/>
        <item x="163"/>
        <item x="84"/>
        <item x="262"/>
        <item x="124"/>
        <item x="279"/>
        <item x="173"/>
        <item x="305"/>
        <item x="131"/>
        <item x="152"/>
        <item x="102"/>
        <item x="204"/>
        <item x="313"/>
        <item x="271"/>
        <item x="178"/>
        <item x="69"/>
        <item x="312"/>
        <item x="288"/>
        <item x="325"/>
        <item x="176"/>
        <item x="233"/>
        <item x="70"/>
        <item x="54"/>
        <item x="179"/>
        <item x="118"/>
        <item x="251"/>
        <item x="49"/>
        <item x="337"/>
        <item x="333"/>
        <item x="199"/>
        <item x="256"/>
        <item x="5"/>
        <item x="135"/>
        <item x="306"/>
        <item x="112"/>
        <item x="192"/>
        <item x="225"/>
        <item x="245"/>
        <item x="287"/>
        <item x="19"/>
        <item x="222"/>
        <item x="322"/>
        <item x="194"/>
        <item x="282"/>
        <item x="246"/>
        <item x="47"/>
        <item x="114"/>
        <item x="209"/>
        <item x="205"/>
        <item x="206"/>
        <item x="308"/>
        <item x="300"/>
        <item x="44"/>
        <item x="79"/>
        <item x="202"/>
        <item x="328"/>
        <item x="142"/>
        <item x="43"/>
        <item x="289"/>
        <item x="220"/>
        <item x="339"/>
        <item x="113"/>
        <item x="78"/>
        <item x="331"/>
        <item x="161"/>
        <item x="90"/>
        <item x="91"/>
        <item x="76"/>
        <item x="266"/>
        <item x="183"/>
        <item x="121"/>
        <item x="40"/>
        <item x="126"/>
        <item x="116"/>
        <item x="285"/>
        <item x="144"/>
        <item x="185"/>
        <item x="97"/>
        <item x="186"/>
        <item x="226"/>
        <item x="277"/>
        <item x="187"/>
        <item x="100"/>
        <item x="34"/>
        <item x="83"/>
        <item x="304"/>
        <item x="290"/>
        <item x="17"/>
        <item x="111"/>
        <item x="71"/>
        <item x="278"/>
        <item x="33"/>
        <item x="301"/>
        <item x="241"/>
        <item x="276"/>
        <item x="96"/>
        <item x="129"/>
        <item x="170"/>
        <item x="117"/>
        <item x="22"/>
        <item x="175"/>
        <item x="228"/>
        <item x="123"/>
        <item x="14"/>
        <item x="323"/>
        <item x="81"/>
        <item x="303"/>
        <item x="283"/>
        <item x="145"/>
        <item x="138"/>
        <item x="24"/>
        <item x="250"/>
        <item x="109"/>
        <item x="212"/>
        <item x="134"/>
        <item x="174"/>
        <item x="227"/>
        <item x="36"/>
        <item x="230"/>
        <item x="20"/>
        <item x="296"/>
        <item x="67"/>
        <item x="232"/>
        <item x="189"/>
        <item x="158"/>
        <item x="154"/>
        <item x="63"/>
        <item x="235"/>
        <item x="196"/>
        <item x="181"/>
        <item x="298"/>
        <item x="327"/>
        <item x="28"/>
        <item x="52"/>
        <item x="61"/>
        <item x="143"/>
        <item x="45"/>
        <item x="315"/>
        <item x="150"/>
        <item x="86"/>
        <item x="74"/>
        <item x="330"/>
        <item x="108"/>
        <item x="268"/>
        <item x="231"/>
        <item x="255"/>
        <item x="165"/>
        <item x="105"/>
        <item x="249"/>
        <item x="316"/>
        <item x="217"/>
        <item x="182"/>
        <item x="326"/>
        <item x="60"/>
        <item x="195"/>
        <item x="149"/>
        <item x="281"/>
        <item x="6"/>
        <item x="269"/>
        <item x="10"/>
        <item x="229"/>
        <item x="66"/>
        <item x="107"/>
        <item x="13"/>
        <item x="89"/>
        <item x="98"/>
        <item x="302"/>
        <item x="119"/>
        <item x="190"/>
        <item x="180"/>
        <item x="148"/>
        <item x="215"/>
        <item x="64"/>
        <item x="104"/>
        <item x="177"/>
        <item x="243"/>
        <item x="248"/>
        <item x="224"/>
        <item x="171"/>
        <item x="275"/>
        <item x="264"/>
        <item x="101"/>
        <item x="311"/>
        <item x="15"/>
        <item x="146"/>
        <item x="221"/>
        <item x="130"/>
        <item x="291"/>
        <item x="58"/>
        <item x="51"/>
        <item x="75"/>
        <item x="259"/>
        <item x="164"/>
        <item x="338"/>
        <item x="265"/>
        <item x="18"/>
        <item x="203"/>
        <item x="4"/>
        <item x="191"/>
        <item x="16"/>
        <item x="30"/>
        <item x="157"/>
        <item x="218"/>
        <item x="162"/>
        <item x="42"/>
        <item x="21"/>
        <item x="29"/>
        <item x="273"/>
        <item x="59"/>
        <item x="200"/>
        <item x="193"/>
        <item x="73"/>
        <item x="208"/>
        <item x="32"/>
        <item x="23"/>
        <item x="335"/>
        <item x="93"/>
        <item x="253"/>
        <item x="137"/>
        <item x="167"/>
        <item x="11"/>
        <item x="297"/>
        <item x="223"/>
        <item x="87"/>
        <item x="236"/>
        <item x="147"/>
        <item x="295"/>
        <item x="318"/>
        <item x="136"/>
        <item x="122"/>
        <item x="50"/>
        <item x="127"/>
        <item x="77"/>
        <item x="252"/>
        <item x="284"/>
        <item x="53"/>
        <item x="210"/>
        <item x="274"/>
        <item x="65"/>
        <item x="103"/>
        <item x="314"/>
        <item x="72"/>
        <item x="85"/>
        <item x="321"/>
        <item x="211"/>
        <item x="110"/>
        <item x="310"/>
        <item x="8"/>
        <item x="48"/>
        <item x="292"/>
        <item x="139"/>
        <item x="293"/>
        <item x="237"/>
        <item x="286"/>
        <item x="37"/>
        <item x="57"/>
        <item x="242"/>
        <item x="294"/>
        <item x="159"/>
        <item x="260"/>
        <item x="125"/>
        <item x="207"/>
        <item x="153"/>
        <item x="261"/>
        <item x="55"/>
        <item x="240"/>
        <item x="0"/>
        <item x="160"/>
        <item x="7"/>
        <item x="168"/>
        <item x="39"/>
        <item x="307"/>
        <item x="234"/>
        <item x="219"/>
        <item x="95"/>
        <item x="62"/>
        <item x="247"/>
        <item x="244"/>
        <item x="238"/>
        <item x="132"/>
        <item x="41"/>
        <item x="336"/>
        <item x="166"/>
        <item x="317"/>
        <item t="default"/>
      </items>
    </pivotField>
    <pivotField showAll="0"/>
    <pivotField axis="axisRow" showAll="0">
      <items count="5">
        <item x="0"/>
        <item x="3"/>
        <item x="1"/>
        <item x="2"/>
        <item t="default"/>
      </items>
    </pivotField>
    <pivotField showAll="0"/>
    <pivotField axis="axisCol" showAll="0">
      <items count="6">
        <item x="2"/>
        <item x="0"/>
        <item x="3"/>
        <item x="4"/>
        <item x="1"/>
        <item t="default"/>
      </items>
    </pivotField>
    <pivotField showAll="0"/>
    <pivotField showAll="0"/>
    <pivotField dataField="1" showAll="0"/>
    <pivotField showAll="0"/>
    <pivotField showAll="0">
      <items count="16">
        <item x="4"/>
        <item x="11"/>
        <item x="8"/>
        <item x="2"/>
        <item x="10"/>
        <item x="5"/>
        <item x="3"/>
        <item x="0"/>
        <item x="9"/>
        <item x="1"/>
        <item x="6"/>
        <item x="7"/>
        <item x="14"/>
        <item x="13"/>
        <item x="1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5"/>
  </colFields>
  <colItems count="6">
    <i>
      <x/>
    </i>
    <i>
      <x v="1"/>
    </i>
    <i>
      <x v="2"/>
    </i>
    <i>
      <x v="3"/>
    </i>
    <i>
      <x v="4"/>
    </i>
    <i t="grand">
      <x/>
    </i>
  </colItems>
  <dataFields count="1">
    <dataField name="Sum of TotalAmount" fld="8" baseField="0" baseItem="0"/>
  </dataFields>
  <conditionalFormats count="1">
    <conditionalFormat priority="1">
      <pivotAreas count="1">
        <pivotArea fieldPosition="0">
          <references count="1">
            <reference field="3"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51D02C-7F56-405E-B9D9-4FE8A0409CC0}" name="PivotTable9" cacheId="1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11:G17" firstHeaderRow="1" firstDataRow="2" firstDataCol="1"/>
  <pivotFields count="13">
    <pivotField showAll="0"/>
    <pivotField numFmtId="14" showAll="0">
      <items count="342">
        <item x="184"/>
        <item x="2"/>
        <item x="340"/>
        <item x="320"/>
        <item x="258"/>
        <item x="27"/>
        <item x="80"/>
        <item x="133"/>
        <item x="254"/>
        <item x="334"/>
        <item x="280"/>
        <item x="1"/>
        <item x="329"/>
        <item x="128"/>
        <item x="319"/>
        <item x="198"/>
        <item x="156"/>
        <item x="46"/>
        <item x="92"/>
        <item x="140"/>
        <item x="120"/>
        <item x="106"/>
        <item x="172"/>
        <item x="68"/>
        <item x="299"/>
        <item x="239"/>
        <item x="31"/>
        <item x="270"/>
        <item x="141"/>
        <item x="115"/>
        <item x="9"/>
        <item x="257"/>
        <item x="99"/>
        <item x="309"/>
        <item x="56"/>
        <item x="26"/>
        <item x="324"/>
        <item x="201"/>
        <item x="88"/>
        <item x="214"/>
        <item x="188"/>
        <item x="272"/>
        <item x="94"/>
        <item x="3"/>
        <item x="332"/>
        <item x="169"/>
        <item x="151"/>
        <item x="35"/>
        <item x="213"/>
        <item x="155"/>
        <item x="216"/>
        <item x="25"/>
        <item x="12"/>
        <item x="197"/>
        <item x="267"/>
        <item x="38"/>
        <item x="263"/>
        <item x="82"/>
        <item x="163"/>
        <item x="84"/>
        <item x="262"/>
        <item x="124"/>
        <item x="279"/>
        <item x="173"/>
        <item x="305"/>
        <item x="131"/>
        <item x="152"/>
        <item x="102"/>
        <item x="204"/>
        <item x="313"/>
        <item x="271"/>
        <item x="178"/>
        <item x="69"/>
        <item x="312"/>
        <item x="288"/>
        <item x="325"/>
        <item x="176"/>
        <item x="233"/>
        <item x="70"/>
        <item x="54"/>
        <item x="179"/>
        <item x="118"/>
        <item x="251"/>
        <item x="49"/>
        <item x="337"/>
        <item x="333"/>
        <item x="199"/>
        <item x="256"/>
        <item x="5"/>
        <item x="135"/>
        <item x="306"/>
        <item x="112"/>
        <item x="192"/>
        <item x="225"/>
        <item x="245"/>
        <item x="287"/>
        <item x="19"/>
        <item x="222"/>
        <item x="322"/>
        <item x="194"/>
        <item x="282"/>
        <item x="246"/>
        <item x="47"/>
        <item x="114"/>
        <item x="209"/>
        <item x="205"/>
        <item x="206"/>
        <item x="308"/>
        <item x="300"/>
        <item x="44"/>
        <item x="79"/>
        <item x="202"/>
        <item x="328"/>
        <item x="142"/>
        <item x="43"/>
        <item x="289"/>
        <item x="220"/>
        <item x="339"/>
        <item x="113"/>
        <item x="78"/>
        <item x="331"/>
        <item x="161"/>
        <item x="90"/>
        <item x="91"/>
        <item x="76"/>
        <item x="266"/>
        <item x="183"/>
        <item x="121"/>
        <item x="40"/>
        <item x="126"/>
        <item x="116"/>
        <item x="285"/>
        <item x="144"/>
        <item x="185"/>
        <item x="97"/>
        <item x="186"/>
        <item x="226"/>
        <item x="277"/>
        <item x="187"/>
        <item x="100"/>
        <item x="34"/>
        <item x="83"/>
        <item x="304"/>
        <item x="290"/>
        <item x="17"/>
        <item x="111"/>
        <item x="71"/>
        <item x="278"/>
        <item x="33"/>
        <item x="301"/>
        <item x="241"/>
        <item x="276"/>
        <item x="96"/>
        <item x="129"/>
        <item x="170"/>
        <item x="117"/>
        <item x="22"/>
        <item x="175"/>
        <item x="228"/>
        <item x="123"/>
        <item x="14"/>
        <item x="323"/>
        <item x="81"/>
        <item x="303"/>
        <item x="283"/>
        <item x="145"/>
        <item x="138"/>
        <item x="24"/>
        <item x="250"/>
        <item x="109"/>
        <item x="212"/>
        <item x="134"/>
        <item x="174"/>
        <item x="227"/>
        <item x="36"/>
        <item x="230"/>
        <item x="20"/>
        <item x="296"/>
        <item x="67"/>
        <item x="232"/>
        <item x="189"/>
        <item x="158"/>
        <item x="154"/>
        <item x="63"/>
        <item x="235"/>
        <item x="196"/>
        <item x="181"/>
        <item x="298"/>
        <item x="327"/>
        <item x="28"/>
        <item x="52"/>
        <item x="61"/>
        <item x="143"/>
        <item x="45"/>
        <item x="315"/>
        <item x="150"/>
        <item x="86"/>
        <item x="74"/>
        <item x="330"/>
        <item x="108"/>
        <item x="268"/>
        <item x="231"/>
        <item x="255"/>
        <item x="165"/>
        <item x="105"/>
        <item x="249"/>
        <item x="316"/>
        <item x="217"/>
        <item x="182"/>
        <item x="326"/>
        <item x="60"/>
        <item x="195"/>
        <item x="149"/>
        <item x="281"/>
        <item x="6"/>
        <item x="269"/>
        <item x="10"/>
        <item x="229"/>
        <item x="66"/>
        <item x="107"/>
        <item x="13"/>
        <item x="89"/>
        <item x="98"/>
        <item x="302"/>
        <item x="119"/>
        <item x="190"/>
        <item x="180"/>
        <item x="148"/>
        <item x="215"/>
        <item x="64"/>
        <item x="104"/>
        <item x="177"/>
        <item x="243"/>
        <item x="248"/>
        <item x="224"/>
        <item x="171"/>
        <item x="275"/>
        <item x="264"/>
        <item x="101"/>
        <item x="311"/>
        <item x="15"/>
        <item x="146"/>
        <item x="221"/>
        <item x="130"/>
        <item x="291"/>
        <item x="58"/>
        <item x="51"/>
        <item x="75"/>
        <item x="259"/>
        <item x="164"/>
        <item x="338"/>
        <item x="265"/>
        <item x="18"/>
        <item x="203"/>
        <item x="4"/>
        <item x="191"/>
        <item x="16"/>
        <item x="30"/>
        <item x="157"/>
        <item x="218"/>
        <item x="162"/>
        <item x="42"/>
        <item x="21"/>
        <item x="29"/>
        <item x="273"/>
        <item x="59"/>
        <item x="200"/>
        <item x="193"/>
        <item x="73"/>
        <item x="208"/>
        <item x="32"/>
        <item x="23"/>
        <item x="335"/>
        <item x="93"/>
        <item x="253"/>
        <item x="137"/>
        <item x="167"/>
        <item x="11"/>
        <item x="297"/>
        <item x="223"/>
        <item x="87"/>
        <item x="236"/>
        <item x="147"/>
        <item x="295"/>
        <item x="318"/>
        <item x="136"/>
        <item x="122"/>
        <item x="50"/>
        <item x="127"/>
        <item x="77"/>
        <item x="252"/>
        <item x="284"/>
        <item x="53"/>
        <item x="210"/>
        <item x="274"/>
        <item x="65"/>
        <item x="103"/>
        <item x="314"/>
        <item x="72"/>
        <item x="85"/>
        <item x="321"/>
        <item x="211"/>
        <item x="110"/>
        <item x="310"/>
        <item x="8"/>
        <item x="48"/>
        <item x="292"/>
        <item x="139"/>
        <item x="293"/>
        <item x="237"/>
        <item x="286"/>
        <item x="37"/>
        <item x="57"/>
        <item x="242"/>
        <item x="294"/>
        <item x="159"/>
        <item x="260"/>
        <item x="125"/>
        <item x="207"/>
        <item x="153"/>
        <item x="261"/>
        <item x="55"/>
        <item x="240"/>
        <item x="0"/>
        <item x="160"/>
        <item x="7"/>
        <item x="168"/>
        <item x="39"/>
        <item x="307"/>
        <item x="234"/>
        <item x="219"/>
        <item x="95"/>
        <item x="62"/>
        <item x="247"/>
        <item x="244"/>
        <item x="238"/>
        <item x="132"/>
        <item x="41"/>
        <item x="336"/>
        <item x="166"/>
        <item x="317"/>
        <item t="default"/>
      </items>
    </pivotField>
    <pivotField showAll="0"/>
    <pivotField axis="axisRow" showAll="0">
      <items count="5">
        <item x="0"/>
        <item x="3"/>
        <item x="1"/>
        <item x="2"/>
        <item t="default"/>
      </items>
    </pivotField>
    <pivotField showAll="0"/>
    <pivotField axis="axisCol" showAll="0">
      <items count="6">
        <item x="2"/>
        <item x="0"/>
        <item x="3"/>
        <item x="4"/>
        <item x="1"/>
        <item t="default"/>
      </items>
    </pivotField>
    <pivotField showAll="0"/>
    <pivotField showAll="0"/>
    <pivotField dataField="1" showAll="0"/>
    <pivotField showAll="0"/>
    <pivotField showAll="0">
      <items count="16">
        <item x="4"/>
        <item x="11"/>
        <item x="8"/>
        <item x="2"/>
        <item x="10"/>
        <item x="5"/>
        <item x="3"/>
        <item x="0"/>
        <item x="9"/>
        <item x="1"/>
        <item x="6"/>
        <item x="7"/>
        <item x="14"/>
        <item x="13"/>
        <item x="1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5"/>
  </colFields>
  <colItems count="6">
    <i>
      <x/>
    </i>
    <i>
      <x v="1"/>
    </i>
    <i>
      <x v="2"/>
    </i>
    <i>
      <x v="3"/>
    </i>
    <i>
      <x v="4"/>
    </i>
    <i t="grand">
      <x/>
    </i>
  </colItems>
  <dataFields count="1">
    <dataField name="Sum of TotalAmount" fld="8" baseField="0" baseItem="0"/>
  </dataFields>
  <formats count="10">
    <format dxfId="229">
      <pivotArea type="all" dataOnly="0" outline="0" fieldPosition="0"/>
    </format>
    <format dxfId="228">
      <pivotArea outline="0" collapsedLevelsAreSubtotals="1" fieldPosition="0"/>
    </format>
    <format dxfId="227">
      <pivotArea type="origin" dataOnly="0" labelOnly="1" outline="0" fieldPosition="0"/>
    </format>
    <format dxfId="226">
      <pivotArea field="5" type="button" dataOnly="0" labelOnly="1" outline="0" axis="axisCol" fieldPosition="0"/>
    </format>
    <format dxfId="225">
      <pivotArea type="topRight" dataOnly="0" labelOnly="1" outline="0" fieldPosition="0"/>
    </format>
    <format dxfId="224">
      <pivotArea field="3" type="button" dataOnly="0" labelOnly="1" outline="0" axis="axisRow" fieldPosition="0"/>
    </format>
    <format dxfId="223">
      <pivotArea dataOnly="0" labelOnly="1" fieldPosition="0">
        <references count="1">
          <reference field="3" count="0"/>
        </references>
      </pivotArea>
    </format>
    <format dxfId="222">
      <pivotArea dataOnly="0" labelOnly="1" grandRow="1" outline="0" fieldPosition="0"/>
    </format>
    <format dxfId="221">
      <pivotArea dataOnly="0" labelOnly="1" fieldPosition="0">
        <references count="1">
          <reference field="5" count="0"/>
        </references>
      </pivotArea>
    </format>
    <format dxfId="220">
      <pivotArea dataOnly="0" labelOnly="1" grandCol="1" outline="0" fieldPosition="0"/>
    </format>
  </formats>
  <conditionalFormats count="1">
    <conditionalFormat priority="1">
      <pivotAreas count="1">
        <pivotArea fieldPosition="0">
          <references count="1">
            <reference field="3"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3E86D7-9166-4286-9D45-AB51974E1D59}" sourceName="Region">
  <pivotTables>
    <pivotTable tabId="3" name="Q1"/>
    <pivotTable tabId="4" name="PivotTable9"/>
    <pivotTable tabId="3" name="KPI"/>
    <pivotTable tabId="3" name="KPI2"/>
    <pivotTable tabId="3" name="KPI3"/>
    <pivotTable tabId="3" name="KPI4"/>
    <pivotTable tabId="3" name="Q2"/>
    <pivotTable tabId="3" name="Q3"/>
  </pivotTables>
  <data>
    <tabular pivotCacheId="1725508095">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11177E-245B-446E-AEBD-DCE0C38ACD3A}" sourceName="Category">
  <pivotTables>
    <pivotTable tabId="3" name="Q1"/>
    <pivotTable tabId="4" name="PivotTable9"/>
    <pivotTable tabId="3" name="KPI"/>
    <pivotTable tabId="3" name="KPI2"/>
    <pivotTable tabId="3" name="KPI3"/>
    <pivotTable tabId="3" name="KPI4"/>
    <pivotTable tabId="3" name="Q2"/>
    <pivotTable tabId="3" name="Q3"/>
  </pivotTables>
  <data>
    <tabular pivotCacheId="1725508095">
      <items count="5">
        <i x="2" s="1"/>
        <i x="0" s="1"/>
        <i x="3"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Agent" xr10:uid="{4E4799A6-91A3-4043-B87D-2E05E37BDA28}" sourceName="SalesAgent">
  <pivotTables>
    <pivotTable tabId="3" name="Q1"/>
    <pivotTable tabId="4" name="PivotTable9"/>
    <pivotTable tabId="3" name="KPI"/>
    <pivotTable tabId="3" name="KPI2"/>
    <pivotTable tabId="3" name="KPI3"/>
    <pivotTable tabId="3" name="KPI4"/>
    <pivotTable tabId="3" name="Q2"/>
    <pivotTable tabId="3" name="Q3"/>
  </pivotTables>
  <data>
    <tabular pivotCacheId="1725508095">
      <items count="15">
        <i x="4" s="1"/>
        <i x="11" s="1"/>
        <i x="8" s="1"/>
        <i x="2" s="1"/>
        <i x="10" s="1"/>
        <i x="5" s="1"/>
        <i x="3" s="1"/>
        <i x="0" s="1"/>
        <i x="9" s="1"/>
        <i x="1" s="1"/>
        <i x="6" s="1"/>
        <i x="7" s="1"/>
        <i x="14" s="1"/>
        <i x="13"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DB7EC2-F7C0-481D-8ACF-63DCBF784FCE}" cache="Slicer_Region" caption="Region" rowHeight="247650"/>
  <slicer name="Category" xr10:uid="{A711DD9B-44E7-4FC0-B164-B3639D924678}" cache="Slicer_Category" caption="Category" rowHeight="247650"/>
  <slicer name="SalesAgent" xr10:uid="{1D5BF5BA-883E-4097-8C77-F9FDDF4ECE69}" cache="Slicer_SalesAgent" caption="SalesAgent" startItem="7"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E08278F-3939-4B06-ABEE-D6DF7F4FAA64}" cache="Slicer_Region" caption="Region" rowHeight="247650"/>
  <slicer name="Category 1" xr10:uid="{BC61D9AD-5A98-4AA2-B314-8DB3649A1A94}" cache="Slicer_Category" caption="Category" rowHeight="247650"/>
  <slicer name="SalesAgent 1" xr10:uid="{4E6FAE3B-A8C5-476F-A4F5-D735AE019043}" cache="Slicer_SalesAgent" caption="SalesAgent" startItem="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A4BD-3AA0-4C3C-95EB-5BC569C8B2C3}">
  <dimension ref="A3:Q42"/>
  <sheetViews>
    <sheetView topLeftCell="B11" zoomScaleNormal="100" workbookViewId="0">
      <selection activeCell="C22" sqref="C22"/>
    </sheetView>
  </sheetViews>
  <sheetFormatPr defaultRowHeight="14.4" x14ac:dyDescent="0.3"/>
  <cols>
    <col min="1" max="1" width="17.77734375" bestFit="1" customWidth="1"/>
    <col min="2" max="2" width="15.5546875" bestFit="1" customWidth="1"/>
    <col min="3" max="3" width="12.44140625" bestFit="1" customWidth="1"/>
    <col min="4" max="4" width="14.77734375" bestFit="1" customWidth="1"/>
    <col min="5" max="6" width="8" bestFit="1" customWidth="1"/>
    <col min="7" max="7" width="10.5546875" bestFit="1" customWidth="1"/>
    <col min="10" max="10" width="17.77734375" bestFit="1" customWidth="1"/>
    <col min="11" max="11" width="15.5546875" bestFit="1" customWidth="1"/>
    <col min="12" max="12" width="10.33203125" bestFit="1" customWidth="1"/>
    <col min="13" max="13" width="8.5546875" bestFit="1" customWidth="1"/>
    <col min="14" max="14" width="10.5546875" bestFit="1" customWidth="1"/>
    <col min="15" max="15" width="15.5546875" bestFit="1" customWidth="1"/>
    <col min="16" max="16" width="12.44140625" bestFit="1" customWidth="1"/>
    <col min="17" max="17" width="17.77734375" bestFit="1" customWidth="1"/>
    <col min="18" max="1009" width="15.5546875" bestFit="1" customWidth="1"/>
    <col min="1010" max="1010" width="10.5546875" bestFit="1" customWidth="1"/>
  </cols>
  <sheetData>
    <row r="3" spans="1:17" x14ac:dyDescent="0.3">
      <c r="A3" s="7" t="s">
        <v>1388</v>
      </c>
      <c r="B3" s="7" t="s">
        <v>1385</v>
      </c>
      <c r="J3" s="7" t="s">
        <v>1388</v>
      </c>
      <c r="K3" s="7" t="s">
        <v>1385</v>
      </c>
      <c r="P3" s="7" t="s">
        <v>1387</v>
      </c>
      <c r="Q3" t="s">
        <v>1388</v>
      </c>
    </row>
    <row r="4" spans="1:17" x14ac:dyDescent="0.3">
      <c r="A4" s="7" t="s">
        <v>1387</v>
      </c>
      <c r="B4" t="s">
        <v>31</v>
      </c>
      <c r="C4" t="s">
        <v>15</v>
      </c>
      <c r="D4" t="s">
        <v>49</v>
      </c>
      <c r="E4" t="s">
        <v>68</v>
      </c>
      <c r="F4" t="s">
        <v>25</v>
      </c>
      <c r="G4" t="s">
        <v>1386</v>
      </c>
      <c r="J4" s="7" t="s">
        <v>1387</v>
      </c>
      <c r="K4" t="s">
        <v>35</v>
      </c>
      <c r="L4" t="s">
        <v>16</v>
      </c>
      <c r="M4" t="s">
        <v>128</v>
      </c>
      <c r="N4" t="s">
        <v>1386</v>
      </c>
      <c r="P4" s="8" t="s">
        <v>1390</v>
      </c>
      <c r="Q4" s="9">
        <v>2807202</v>
      </c>
    </row>
    <row r="5" spans="1:17" x14ac:dyDescent="0.3">
      <c r="A5" s="8" t="s">
        <v>13</v>
      </c>
      <c r="B5" s="9">
        <v>525299</v>
      </c>
      <c r="C5" s="9">
        <v>7193250</v>
      </c>
      <c r="D5" s="9">
        <v>2399257</v>
      </c>
      <c r="E5" s="9">
        <v>331009</v>
      </c>
      <c r="F5" s="9">
        <v>529269</v>
      </c>
      <c r="G5" s="9">
        <v>10978084</v>
      </c>
      <c r="J5" s="8" t="s">
        <v>1390</v>
      </c>
      <c r="K5" s="9">
        <v>140406</v>
      </c>
      <c r="L5" s="9">
        <v>2350256</v>
      </c>
      <c r="M5" s="9">
        <v>316540</v>
      </c>
      <c r="N5" s="9">
        <v>2807202</v>
      </c>
      <c r="P5" s="8" t="s">
        <v>1391</v>
      </c>
      <c r="Q5" s="9">
        <v>5142137</v>
      </c>
    </row>
    <row r="6" spans="1:17" x14ac:dyDescent="0.3">
      <c r="A6" s="8" t="s">
        <v>59</v>
      </c>
      <c r="B6" s="9">
        <v>721172</v>
      </c>
      <c r="C6" s="9">
        <v>8217571</v>
      </c>
      <c r="D6" s="9">
        <v>4521969</v>
      </c>
      <c r="E6" s="9">
        <v>508533</v>
      </c>
      <c r="F6" s="9">
        <v>534791</v>
      </c>
      <c r="G6" s="9">
        <v>14504036</v>
      </c>
      <c r="J6" s="8" t="s">
        <v>1391</v>
      </c>
      <c r="K6" s="9">
        <v>754713</v>
      </c>
      <c r="L6" s="9">
        <v>4307615</v>
      </c>
      <c r="M6" s="9">
        <v>79809</v>
      </c>
      <c r="N6" s="9">
        <v>5142137</v>
      </c>
      <c r="P6" s="8" t="s">
        <v>1392</v>
      </c>
      <c r="Q6" s="9">
        <v>3778049</v>
      </c>
    </row>
    <row r="7" spans="1:17" x14ac:dyDescent="0.3">
      <c r="A7" s="8" t="s">
        <v>29</v>
      </c>
      <c r="B7" s="9">
        <v>633093</v>
      </c>
      <c r="C7" s="9">
        <v>5793390</v>
      </c>
      <c r="D7" s="9">
        <v>1391570</v>
      </c>
      <c r="E7" s="9">
        <v>295884</v>
      </c>
      <c r="F7" s="9">
        <v>448407</v>
      </c>
      <c r="G7" s="9">
        <v>8562344</v>
      </c>
      <c r="J7" s="8" t="s">
        <v>1392</v>
      </c>
      <c r="K7" s="9">
        <v>441882</v>
      </c>
      <c r="L7" s="9">
        <v>3336167</v>
      </c>
      <c r="M7" s="9"/>
      <c r="N7" s="9">
        <v>3778049</v>
      </c>
      <c r="P7" s="8" t="s">
        <v>1393</v>
      </c>
      <c r="Q7" s="9">
        <v>3481142</v>
      </c>
    </row>
    <row r="8" spans="1:17" x14ac:dyDescent="0.3">
      <c r="A8" s="8" t="s">
        <v>55</v>
      </c>
      <c r="B8" s="9">
        <v>508615</v>
      </c>
      <c r="C8" s="9">
        <v>9116438</v>
      </c>
      <c r="D8" s="9">
        <v>3260179</v>
      </c>
      <c r="E8" s="9">
        <v>271762</v>
      </c>
      <c r="F8" s="9">
        <v>371815</v>
      </c>
      <c r="G8" s="9">
        <v>13528809</v>
      </c>
      <c r="J8" s="8" t="s">
        <v>1393</v>
      </c>
      <c r="K8" s="9">
        <v>322044</v>
      </c>
      <c r="L8" s="9">
        <v>2433462</v>
      </c>
      <c r="M8" s="9">
        <v>725636</v>
      </c>
      <c r="N8" s="9">
        <v>3481142</v>
      </c>
      <c r="P8" s="8" t="s">
        <v>1394</v>
      </c>
      <c r="Q8" s="9">
        <v>4162750</v>
      </c>
    </row>
    <row r="9" spans="1:17" x14ac:dyDescent="0.3">
      <c r="A9" s="8" t="s">
        <v>1386</v>
      </c>
      <c r="B9" s="9">
        <v>2388179</v>
      </c>
      <c r="C9" s="9">
        <v>30320649</v>
      </c>
      <c r="D9" s="9">
        <v>11572975</v>
      </c>
      <c r="E9" s="9">
        <v>1407188</v>
      </c>
      <c r="F9" s="9">
        <v>1884282</v>
      </c>
      <c r="G9" s="9">
        <v>47573273</v>
      </c>
      <c r="J9" s="8" t="s">
        <v>1394</v>
      </c>
      <c r="K9" s="9">
        <v>161128</v>
      </c>
      <c r="L9" s="9">
        <v>3654693</v>
      </c>
      <c r="M9" s="9">
        <v>346929</v>
      </c>
      <c r="N9" s="9">
        <v>4162750</v>
      </c>
      <c r="P9" s="8" t="s">
        <v>1395</v>
      </c>
      <c r="Q9" s="9">
        <v>5238264</v>
      </c>
    </row>
    <row r="10" spans="1:17" x14ac:dyDescent="0.3">
      <c r="J10" s="8" t="s">
        <v>1395</v>
      </c>
      <c r="K10" s="9">
        <v>53046</v>
      </c>
      <c r="L10" s="9">
        <v>5076030</v>
      </c>
      <c r="M10" s="9">
        <v>109188</v>
      </c>
      <c r="N10" s="9">
        <v>5238264</v>
      </c>
      <c r="P10" s="8" t="s">
        <v>1396</v>
      </c>
      <c r="Q10" s="9">
        <v>4062622</v>
      </c>
    </row>
    <row r="11" spans="1:17" x14ac:dyDescent="0.3">
      <c r="C11" s="7" t="s">
        <v>9</v>
      </c>
      <c r="D11" t="s">
        <v>16</v>
      </c>
      <c r="J11" s="8" t="s">
        <v>1396</v>
      </c>
      <c r="K11" s="9">
        <v>344599</v>
      </c>
      <c r="L11" s="9">
        <v>3547769</v>
      </c>
      <c r="M11" s="9">
        <v>170254</v>
      </c>
      <c r="N11" s="9">
        <v>4062622</v>
      </c>
      <c r="P11" s="8" t="s">
        <v>1397</v>
      </c>
      <c r="Q11" s="9">
        <v>3701785</v>
      </c>
    </row>
    <row r="12" spans="1:17" x14ac:dyDescent="0.3">
      <c r="J12" s="8" t="s">
        <v>1397</v>
      </c>
      <c r="K12" s="9">
        <v>355140</v>
      </c>
      <c r="L12" s="9">
        <v>2706362</v>
      </c>
      <c r="M12" s="9">
        <v>640283</v>
      </c>
      <c r="N12" s="9">
        <v>3701785</v>
      </c>
      <c r="P12" s="8" t="s">
        <v>1398</v>
      </c>
      <c r="Q12" s="9">
        <v>4054219</v>
      </c>
    </row>
    <row r="13" spans="1:17" x14ac:dyDescent="0.3">
      <c r="C13" t="s">
        <v>1388</v>
      </c>
      <c r="J13" s="8" t="s">
        <v>1398</v>
      </c>
      <c r="K13" s="9">
        <v>50435</v>
      </c>
      <c r="L13" s="9">
        <v>3798736</v>
      </c>
      <c r="M13" s="9">
        <v>205048</v>
      </c>
      <c r="N13" s="9">
        <v>4054219</v>
      </c>
      <c r="P13" s="8" t="s">
        <v>1399</v>
      </c>
      <c r="Q13" s="9">
        <v>2924821</v>
      </c>
    </row>
    <row r="14" spans="1:17" x14ac:dyDescent="0.3">
      <c r="C14" s="9">
        <v>40851282</v>
      </c>
      <c r="J14" s="8" t="s">
        <v>1399</v>
      </c>
      <c r="K14" s="9">
        <v>355773</v>
      </c>
      <c r="L14" s="9">
        <v>2419424</v>
      </c>
      <c r="M14" s="9">
        <v>149624</v>
      </c>
      <c r="N14" s="9">
        <v>2924821</v>
      </c>
      <c r="P14" s="8" t="s">
        <v>1400</v>
      </c>
      <c r="Q14" s="9">
        <v>4104028</v>
      </c>
    </row>
    <row r="15" spans="1:17" x14ac:dyDescent="0.3">
      <c r="C15" s="7" t="s">
        <v>9</v>
      </c>
      <c r="D15" t="s">
        <v>35</v>
      </c>
      <c r="J15" s="8" t="s">
        <v>1400</v>
      </c>
      <c r="K15" s="9">
        <v>670383</v>
      </c>
      <c r="L15" s="9">
        <v>3384845</v>
      </c>
      <c r="M15" s="9">
        <v>48800</v>
      </c>
      <c r="N15" s="9">
        <v>4104028</v>
      </c>
      <c r="P15" s="8" t="s">
        <v>1401</v>
      </c>
      <c r="Q15" s="9">
        <v>4116254</v>
      </c>
    </row>
    <row r="16" spans="1:17" x14ac:dyDescent="0.3">
      <c r="J16" s="8" t="s">
        <v>1401</v>
      </c>
      <c r="K16" s="9">
        <v>186359</v>
      </c>
      <c r="L16" s="9">
        <v>3835923</v>
      </c>
      <c r="M16" s="9">
        <v>93972</v>
      </c>
      <c r="N16" s="9">
        <v>4116254</v>
      </c>
      <c r="P16" s="8" t="s">
        <v>1386</v>
      </c>
      <c r="Q16" s="9">
        <v>47573273</v>
      </c>
    </row>
    <row r="17" spans="3:14" x14ac:dyDescent="0.3">
      <c r="C17" t="s">
        <v>1403</v>
      </c>
      <c r="J17" s="8" t="s">
        <v>1386</v>
      </c>
      <c r="K17" s="9">
        <v>3835908</v>
      </c>
      <c r="L17" s="9">
        <v>40851282</v>
      </c>
      <c r="M17" s="9">
        <v>2886083</v>
      </c>
      <c r="N17" s="9">
        <v>47573273</v>
      </c>
    </row>
    <row r="18" spans="3:14" x14ac:dyDescent="0.3">
      <c r="C18" s="9">
        <v>71</v>
      </c>
    </row>
    <row r="19" spans="3:14" x14ac:dyDescent="0.3">
      <c r="C19" s="7" t="s">
        <v>9</v>
      </c>
      <c r="D19" t="s">
        <v>1402</v>
      </c>
    </row>
    <row r="21" spans="3:14" x14ac:dyDescent="0.3">
      <c r="C21" t="s">
        <v>1404</v>
      </c>
    </row>
    <row r="22" spans="3:14" x14ac:dyDescent="0.3">
      <c r="C22" s="9">
        <v>47573.273000000001</v>
      </c>
    </row>
    <row r="23" spans="3:14" x14ac:dyDescent="0.3">
      <c r="C23" s="7" t="s">
        <v>9</v>
      </c>
      <c r="D23" t="s">
        <v>128</v>
      </c>
    </row>
    <row r="25" spans="3:14" x14ac:dyDescent="0.3">
      <c r="C25" s="7" t="s">
        <v>1387</v>
      </c>
      <c r="D25" t="s">
        <v>1389</v>
      </c>
    </row>
    <row r="26" spans="3:14" x14ac:dyDescent="0.3">
      <c r="C26" s="8" t="s">
        <v>34</v>
      </c>
      <c r="D26" s="9">
        <v>9</v>
      </c>
    </row>
    <row r="27" spans="3:14" x14ac:dyDescent="0.3">
      <c r="C27" s="8" t="s">
        <v>108</v>
      </c>
      <c r="D27" s="9">
        <v>8</v>
      </c>
    </row>
    <row r="28" spans="3:14" x14ac:dyDescent="0.3">
      <c r="C28" s="8" t="s">
        <v>24</v>
      </c>
      <c r="D28" s="9">
        <v>7</v>
      </c>
    </row>
    <row r="29" spans="3:14" x14ac:dyDescent="0.3">
      <c r="C29" s="8" t="s">
        <v>67</v>
      </c>
      <c r="D29" s="9">
        <v>5</v>
      </c>
    </row>
    <row r="30" spans="3:14" x14ac:dyDescent="0.3">
      <c r="C30" s="8" t="s">
        <v>73</v>
      </c>
      <c r="D30" s="9">
        <v>5</v>
      </c>
    </row>
    <row r="31" spans="3:14" x14ac:dyDescent="0.3">
      <c r="C31" s="8" t="s">
        <v>60</v>
      </c>
      <c r="D31" s="9">
        <v>5</v>
      </c>
    </row>
    <row r="32" spans="3:14" x14ac:dyDescent="0.3">
      <c r="C32" s="8" t="s">
        <v>30</v>
      </c>
      <c r="D32" s="9">
        <v>5</v>
      </c>
    </row>
    <row r="33" spans="3:4" x14ac:dyDescent="0.3">
      <c r="C33" s="8" t="s">
        <v>80</v>
      </c>
      <c r="D33" s="9">
        <v>5</v>
      </c>
    </row>
    <row r="34" spans="3:4" x14ac:dyDescent="0.3">
      <c r="C34" s="8" t="s">
        <v>45</v>
      </c>
      <c r="D34" s="9">
        <v>5</v>
      </c>
    </row>
    <row r="35" spans="3:4" x14ac:dyDescent="0.3">
      <c r="C35" s="8" t="s">
        <v>14</v>
      </c>
      <c r="D35" s="9">
        <v>3</v>
      </c>
    </row>
    <row r="36" spans="3:4" x14ac:dyDescent="0.3">
      <c r="C36" s="8" t="s">
        <v>48</v>
      </c>
      <c r="D36" s="9">
        <v>3</v>
      </c>
    </row>
    <row r="37" spans="3:4" x14ac:dyDescent="0.3">
      <c r="C37" s="8" t="s">
        <v>116</v>
      </c>
      <c r="D37" s="9">
        <v>3</v>
      </c>
    </row>
    <row r="38" spans="3:4" x14ac:dyDescent="0.3">
      <c r="C38" s="8" t="s">
        <v>20</v>
      </c>
      <c r="D38" s="9">
        <v>2</v>
      </c>
    </row>
    <row r="39" spans="3:4" x14ac:dyDescent="0.3">
      <c r="C39" s="8" t="s">
        <v>52</v>
      </c>
      <c r="D39" s="9">
        <v>2</v>
      </c>
    </row>
    <row r="40" spans="3:4" x14ac:dyDescent="0.3">
      <c r="C40" s="8" t="s">
        <v>98</v>
      </c>
      <c r="D40" s="9">
        <v>2</v>
      </c>
    </row>
    <row r="41" spans="3:4" x14ac:dyDescent="0.3">
      <c r="C41" s="8" t="s">
        <v>113</v>
      </c>
      <c r="D41" s="9">
        <v>2</v>
      </c>
    </row>
    <row r="42" spans="3:4" x14ac:dyDescent="0.3">
      <c r="C42" s="8" t="s">
        <v>1386</v>
      </c>
      <c r="D42" s="9">
        <v>71</v>
      </c>
    </row>
  </sheetData>
  <conditionalFormatting pivot="1" sqref="B5:G8">
    <cfRule type="colorScale" priority="1">
      <colorScale>
        <cfvo type="min"/>
        <cfvo type="percentile" val="50"/>
        <cfvo type="max"/>
        <color rgb="FF63BE7B"/>
        <color rgb="FFFFEB84"/>
        <color rgb="FFF8696B"/>
      </colorScale>
    </cfRule>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477E9-6E9D-43EE-ABA5-A900CBF1E2E1}">
  <dimension ref="A11:K24"/>
  <sheetViews>
    <sheetView showGridLines="0" showRowColHeaders="0" tabSelected="1" topLeftCell="A9" zoomScale="92" zoomScaleNormal="92" workbookViewId="0">
      <selection activeCell="R25" sqref="R25"/>
    </sheetView>
  </sheetViews>
  <sheetFormatPr defaultRowHeight="14.4" x14ac:dyDescent="0.3"/>
  <cols>
    <col min="1" max="1" width="23.77734375" style="10" bestFit="1" customWidth="1"/>
    <col min="2" max="2" width="20.109375" style="10" bestFit="1" customWidth="1"/>
    <col min="3" max="3" width="13.5546875" style="10" bestFit="1" customWidth="1"/>
    <col min="4" max="4" width="11.6640625" style="10" bestFit="1" customWidth="1"/>
    <col min="5" max="6" width="10.33203125" style="10" bestFit="1" customWidth="1"/>
    <col min="7" max="8" width="13.77734375" style="10" bestFit="1" customWidth="1"/>
    <col min="9" max="9" width="12.109375" style="10" bestFit="1" customWidth="1"/>
    <col min="10" max="10" width="13.77734375" style="10" bestFit="1" customWidth="1"/>
    <col min="11" max="16384" width="8.88671875" style="10"/>
  </cols>
  <sheetData>
    <row r="11" spans="1:7" ht="18" x14ac:dyDescent="0.35">
      <c r="A11" s="12" t="s">
        <v>1388</v>
      </c>
      <c r="B11" s="12" t="s">
        <v>1385</v>
      </c>
      <c r="C11" s="11"/>
      <c r="D11" s="11"/>
      <c r="E11" s="11"/>
      <c r="F11" s="11"/>
      <c r="G11" s="11"/>
    </row>
    <row r="12" spans="1:7" ht="18" x14ac:dyDescent="0.35">
      <c r="A12" s="12" t="s">
        <v>1387</v>
      </c>
      <c r="B12" s="11" t="s">
        <v>31</v>
      </c>
      <c r="C12" s="11" t="s">
        <v>15</v>
      </c>
      <c r="D12" s="11" t="s">
        <v>49</v>
      </c>
      <c r="E12" s="11" t="s">
        <v>68</v>
      </c>
      <c r="F12" s="11" t="s">
        <v>25</v>
      </c>
      <c r="G12" s="11" t="s">
        <v>1386</v>
      </c>
    </row>
    <row r="13" spans="1:7" ht="18" x14ac:dyDescent="0.35">
      <c r="A13" s="13" t="s">
        <v>13</v>
      </c>
      <c r="B13" s="14">
        <v>525299</v>
      </c>
      <c r="C13" s="14">
        <v>7193250</v>
      </c>
      <c r="D13" s="14">
        <v>2399257</v>
      </c>
      <c r="E13" s="14">
        <v>331009</v>
      </c>
      <c r="F13" s="14">
        <v>529269</v>
      </c>
      <c r="G13" s="14">
        <v>10978084</v>
      </c>
    </row>
    <row r="14" spans="1:7" ht="18" x14ac:dyDescent="0.35">
      <c r="A14" s="13" t="s">
        <v>59</v>
      </c>
      <c r="B14" s="14">
        <v>721172</v>
      </c>
      <c r="C14" s="14">
        <v>8217571</v>
      </c>
      <c r="D14" s="14">
        <v>4521969</v>
      </c>
      <c r="E14" s="14">
        <v>508533</v>
      </c>
      <c r="F14" s="14">
        <v>534791</v>
      </c>
      <c r="G14" s="14">
        <v>14504036</v>
      </c>
    </row>
    <row r="15" spans="1:7" ht="18" x14ac:dyDescent="0.35">
      <c r="A15" s="13" t="s">
        <v>29</v>
      </c>
      <c r="B15" s="14">
        <v>633093</v>
      </c>
      <c r="C15" s="14">
        <v>5793390</v>
      </c>
      <c r="D15" s="14">
        <v>1391570</v>
      </c>
      <c r="E15" s="14">
        <v>295884</v>
      </c>
      <c r="F15" s="14">
        <v>448407</v>
      </c>
      <c r="G15" s="14">
        <v>8562344</v>
      </c>
    </row>
    <row r="16" spans="1:7" ht="18" x14ac:dyDescent="0.35">
      <c r="A16" s="13" t="s">
        <v>55</v>
      </c>
      <c r="B16" s="14">
        <v>508615</v>
      </c>
      <c r="C16" s="14">
        <v>9116438</v>
      </c>
      <c r="D16" s="14">
        <v>3260179</v>
      </c>
      <c r="E16" s="14">
        <v>271762</v>
      </c>
      <c r="F16" s="14">
        <v>371815</v>
      </c>
      <c r="G16" s="14">
        <v>13528809</v>
      </c>
    </row>
    <row r="17" spans="1:11" ht="18" x14ac:dyDescent="0.35">
      <c r="A17" s="13" t="s">
        <v>1386</v>
      </c>
      <c r="B17" s="14">
        <v>2388179</v>
      </c>
      <c r="C17" s="14">
        <v>30320649</v>
      </c>
      <c r="D17" s="14">
        <v>11572975</v>
      </c>
      <c r="E17" s="14">
        <v>1407188</v>
      </c>
      <c r="F17" s="14">
        <v>1884282</v>
      </c>
      <c r="G17" s="14">
        <v>47573273</v>
      </c>
    </row>
    <row r="24" spans="1:11" x14ac:dyDescent="0.3">
      <c r="H24" s="10">
        <f>GETPIVOTDATA("TotalAmount",PIVOT!$C$17)</f>
        <v>71</v>
      </c>
      <c r="I24" s="10">
        <f>GETPIVOTDATA("TotalAmount",PIVOT!$C$13)</f>
        <v>40851282</v>
      </c>
      <c r="J24" s="10">
        <f>GETPIVOTDATA("TotalAmount",PIVOT!$C$21)</f>
        <v>47573.273000000001</v>
      </c>
      <c r="K24" s="10" t="str">
        <f>PIVOT!C26 &amp; " - " &amp; PIVOT!D26 &amp; " Returns"</f>
        <v>Jacket - 9 Returns</v>
      </c>
    </row>
  </sheetData>
  <conditionalFormatting pivot="1" sqref="B13:G16">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D201F-E7EE-4E77-B932-462837230460}">
  <dimension ref="A1:K1001"/>
  <sheetViews>
    <sheetView workbookViewId="0">
      <selection activeCell="E15" sqref="E15"/>
    </sheetView>
  </sheetViews>
  <sheetFormatPr defaultRowHeight="14.4" x14ac:dyDescent="0.3"/>
  <cols>
    <col min="1" max="1" width="10.6640625" style="1" bestFit="1" customWidth="1"/>
    <col min="2" max="2" width="10.33203125" style="1" bestFit="1" customWidth="1"/>
    <col min="3" max="3" width="13.109375" style="1" bestFit="1" customWidth="1"/>
    <col min="4" max="4" width="8.77734375" style="1" bestFit="1" customWidth="1"/>
    <col min="5" max="5" width="14.77734375" style="1" bestFit="1" customWidth="1"/>
    <col min="6" max="6" width="10.5546875" style="1" bestFit="1" customWidth="1"/>
    <col min="7" max="7" width="10.33203125" style="1" bestFit="1" customWidth="1"/>
    <col min="8" max="8" width="11" style="1" bestFit="1" customWidth="1"/>
    <col min="9" max="9" width="13.77734375" style="1" bestFit="1" customWidth="1"/>
    <col min="10" max="10" width="13.33203125" style="1" bestFit="1" customWidth="1"/>
    <col min="11" max="11" width="12.44140625" style="1" bestFit="1" customWidth="1"/>
    <col min="12" max="16384" width="8.88671875" style="1"/>
  </cols>
  <sheetData>
    <row r="1" spans="1:11" x14ac:dyDescent="0.3">
      <c r="A1" s="2" t="s">
        <v>0</v>
      </c>
      <c r="B1" s="2" t="s">
        <v>1</v>
      </c>
      <c r="C1" s="2" t="s">
        <v>2</v>
      </c>
      <c r="D1" s="2" t="s">
        <v>3</v>
      </c>
      <c r="E1" s="2" t="s">
        <v>4</v>
      </c>
      <c r="F1" s="2" t="s">
        <v>5</v>
      </c>
      <c r="G1" s="2" t="s">
        <v>6</v>
      </c>
      <c r="H1" s="2" t="s">
        <v>7</v>
      </c>
      <c r="I1" s="2" t="s">
        <v>8</v>
      </c>
      <c r="J1" s="2" t="s">
        <v>9</v>
      </c>
      <c r="K1" s="2" t="s">
        <v>10</v>
      </c>
    </row>
    <row r="2" spans="1:11" x14ac:dyDescent="0.3">
      <c r="A2" s="3" t="s">
        <v>11</v>
      </c>
      <c r="B2" s="4">
        <v>46004</v>
      </c>
      <c r="C2" s="3" t="s">
        <v>12</v>
      </c>
      <c r="D2" s="3" t="s">
        <v>13</v>
      </c>
      <c r="E2" s="3" t="s">
        <v>14</v>
      </c>
      <c r="F2" s="3" t="s">
        <v>15</v>
      </c>
      <c r="G2" s="3">
        <v>4</v>
      </c>
      <c r="H2" s="3">
        <v>2833</v>
      </c>
      <c r="I2" s="3">
        <v>11332</v>
      </c>
      <c r="J2" s="3" t="s">
        <v>16</v>
      </c>
      <c r="K2" s="3" t="s">
        <v>17</v>
      </c>
    </row>
    <row r="3" spans="1:11" x14ac:dyDescent="0.3">
      <c r="A3" s="5" t="s">
        <v>18</v>
      </c>
      <c r="B3" s="6">
        <v>45671</v>
      </c>
      <c r="C3" s="5" t="s">
        <v>19</v>
      </c>
      <c r="D3" s="5" t="s">
        <v>13</v>
      </c>
      <c r="E3" s="5" t="s">
        <v>20</v>
      </c>
      <c r="F3" s="5" t="s">
        <v>15</v>
      </c>
      <c r="G3" s="5">
        <v>2</v>
      </c>
      <c r="H3" s="5">
        <v>51905</v>
      </c>
      <c r="I3" s="5">
        <v>103810</v>
      </c>
      <c r="J3" s="5" t="s">
        <v>16</v>
      </c>
      <c r="K3" s="5" t="s">
        <v>21</v>
      </c>
    </row>
    <row r="4" spans="1:11" x14ac:dyDescent="0.3">
      <c r="A4" s="3" t="s">
        <v>22</v>
      </c>
      <c r="B4" s="4">
        <v>45661</v>
      </c>
      <c r="C4" s="3" t="s">
        <v>23</v>
      </c>
      <c r="D4" s="3" t="s">
        <v>13</v>
      </c>
      <c r="E4" s="3" t="s">
        <v>24</v>
      </c>
      <c r="F4" s="3" t="s">
        <v>25</v>
      </c>
      <c r="G4" s="3">
        <v>4</v>
      </c>
      <c r="H4" s="3">
        <v>1187</v>
      </c>
      <c r="I4" s="3">
        <v>4748</v>
      </c>
      <c r="J4" s="3" t="s">
        <v>16</v>
      </c>
      <c r="K4" s="3" t="s">
        <v>26</v>
      </c>
    </row>
    <row r="5" spans="1:11" x14ac:dyDescent="0.3">
      <c r="A5" s="5" t="s">
        <v>27</v>
      </c>
      <c r="B5" s="6">
        <v>45705</v>
      </c>
      <c r="C5" s="5" t="s">
        <v>28</v>
      </c>
      <c r="D5" s="5" t="s">
        <v>29</v>
      </c>
      <c r="E5" s="5" t="s">
        <v>30</v>
      </c>
      <c r="F5" s="5" t="s">
        <v>31</v>
      </c>
      <c r="G5" s="5">
        <v>4</v>
      </c>
      <c r="H5" s="5">
        <v>873</v>
      </c>
      <c r="I5" s="5">
        <v>3492</v>
      </c>
      <c r="J5" s="5" t="s">
        <v>16</v>
      </c>
      <c r="K5" s="5" t="s">
        <v>17</v>
      </c>
    </row>
    <row r="6" spans="1:11" x14ac:dyDescent="0.3">
      <c r="A6" s="3" t="s">
        <v>32</v>
      </c>
      <c r="B6" s="4">
        <v>45932</v>
      </c>
      <c r="C6" s="3" t="s">
        <v>33</v>
      </c>
      <c r="D6" s="3" t="s">
        <v>29</v>
      </c>
      <c r="E6" s="3" t="s">
        <v>34</v>
      </c>
      <c r="F6" s="3" t="s">
        <v>31</v>
      </c>
      <c r="G6" s="3">
        <v>5</v>
      </c>
      <c r="H6" s="3">
        <v>3714</v>
      </c>
      <c r="I6" s="3">
        <v>18570</v>
      </c>
      <c r="J6" s="3" t="s">
        <v>35</v>
      </c>
      <c r="K6" s="3" t="s">
        <v>36</v>
      </c>
    </row>
    <row r="7" spans="1:11" x14ac:dyDescent="0.3">
      <c r="A7" s="5" t="s">
        <v>37</v>
      </c>
      <c r="B7" s="6">
        <v>45756</v>
      </c>
      <c r="C7" s="5" t="s">
        <v>38</v>
      </c>
      <c r="D7" s="5" t="s">
        <v>29</v>
      </c>
      <c r="E7" s="5" t="s">
        <v>24</v>
      </c>
      <c r="F7" s="5" t="s">
        <v>25</v>
      </c>
      <c r="G7" s="5">
        <v>10</v>
      </c>
      <c r="H7" s="5">
        <v>1292</v>
      </c>
      <c r="I7" s="5">
        <v>12920</v>
      </c>
      <c r="J7" s="5" t="s">
        <v>16</v>
      </c>
      <c r="K7" s="5" t="s">
        <v>39</v>
      </c>
    </row>
    <row r="8" spans="1:11" x14ac:dyDescent="0.3">
      <c r="A8" s="3" t="s">
        <v>40</v>
      </c>
      <c r="B8" s="4">
        <v>45890</v>
      </c>
      <c r="C8" s="3" t="s">
        <v>41</v>
      </c>
      <c r="D8" s="3" t="s">
        <v>13</v>
      </c>
      <c r="E8" s="3" t="s">
        <v>30</v>
      </c>
      <c r="F8" s="3" t="s">
        <v>31</v>
      </c>
      <c r="G8" s="3">
        <v>4</v>
      </c>
      <c r="H8" s="3">
        <v>858</v>
      </c>
      <c r="I8" s="3">
        <v>3432</v>
      </c>
      <c r="J8" s="3" t="s">
        <v>16</v>
      </c>
      <c r="K8" s="3" t="s">
        <v>42</v>
      </c>
    </row>
    <row r="9" spans="1:11" x14ac:dyDescent="0.3">
      <c r="A9" s="5" t="s">
        <v>43</v>
      </c>
      <c r="B9" s="6">
        <v>46007</v>
      </c>
      <c r="C9" s="5" t="s">
        <v>44</v>
      </c>
      <c r="D9" s="5" t="s">
        <v>29</v>
      </c>
      <c r="E9" s="5" t="s">
        <v>45</v>
      </c>
      <c r="F9" s="5" t="s">
        <v>31</v>
      </c>
      <c r="G9" s="5">
        <v>4</v>
      </c>
      <c r="H9" s="5">
        <v>1861</v>
      </c>
      <c r="I9" s="5">
        <v>7444</v>
      </c>
      <c r="J9" s="5" t="s">
        <v>16</v>
      </c>
      <c r="K9" s="5" t="s">
        <v>17</v>
      </c>
    </row>
    <row r="10" spans="1:11" x14ac:dyDescent="0.3">
      <c r="A10" s="3" t="s">
        <v>46</v>
      </c>
      <c r="B10" s="4">
        <v>45985</v>
      </c>
      <c r="C10" s="3" t="s">
        <v>47</v>
      </c>
      <c r="D10" s="3" t="s">
        <v>13</v>
      </c>
      <c r="E10" s="3" t="s">
        <v>48</v>
      </c>
      <c r="F10" s="3" t="s">
        <v>49</v>
      </c>
      <c r="G10" s="3">
        <v>4</v>
      </c>
      <c r="H10" s="3">
        <v>8394</v>
      </c>
      <c r="I10" s="3">
        <v>33576</v>
      </c>
      <c r="J10" s="3" t="s">
        <v>16</v>
      </c>
      <c r="K10" s="3" t="s">
        <v>21</v>
      </c>
    </row>
    <row r="11" spans="1:11" x14ac:dyDescent="0.3">
      <c r="A11" s="5" t="s">
        <v>50</v>
      </c>
      <c r="B11" s="6">
        <v>45691</v>
      </c>
      <c r="C11" s="5" t="s">
        <v>51</v>
      </c>
      <c r="D11" s="5" t="s">
        <v>13</v>
      </c>
      <c r="E11" s="5" t="s">
        <v>52</v>
      </c>
      <c r="F11" s="5" t="s">
        <v>15</v>
      </c>
      <c r="G11" s="5">
        <v>1</v>
      </c>
      <c r="H11" s="5">
        <v>26525</v>
      </c>
      <c r="I11" s="5">
        <v>26525</v>
      </c>
      <c r="J11" s="5" t="s">
        <v>16</v>
      </c>
      <c r="K11" s="5" t="s">
        <v>36</v>
      </c>
    </row>
    <row r="12" spans="1:11" x14ac:dyDescent="0.3">
      <c r="A12" s="3" t="s">
        <v>53</v>
      </c>
      <c r="B12" s="4">
        <v>45892</v>
      </c>
      <c r="C12" s="3" t="s">
        <v>54</v>
      </c>
      <c r="D12" s="3" t="s">
        <v>55</v>
      </c>
      <c r="E12" s="3" t="s">
        <v>30</v>
      </c>
      <c r="F12" s="3" t="s">
        <v>31</v>
      </c>
      <c r="G12" s="3">
        <v>8</v>
      </c>
      <c r="H12" s="3">
        <v>783</v>
      </c>
      <c r="I12" s="3">
        <v>6264</v>
      </c>
      <c r="J12" s="3" t="s">
        <v>35</v>
      </c>
      <c r="K12" s="3" t="s">
        <v>56</v>
      </c>
    </row>
    <row r="13" spans="1:11" x14ac:dyDescent="0.3">
      <c r="A13" s="5" t="s">
        <v>57</v>
      </c>
      <c r="B13" s="6">
        <v>45956</v>
      </c>
      <c r="C13" s="5" t="s">
        <v>58</v>
      </c>
      <c r="D13" s="5" t="s">
        <v>59</v>
      </c>
      <c r="E13" s="5" t="s">
        <v>60</v>
      </c>
      <c r="F13" s="5" t="s">
        <v>25</v>
      </c>
      <c r="G13" s="5">
        <v>5</v>
      </c>
      <c r="H13" s="5">
        <v>1574</v>
      </c>
      <c r="I13" s="5">
        <v>7870</v>
      </c>
      <c r="J13" s="5" t="s">
        <v>16</v>
      </c>
      <c r="K13" s="5" t="s">
        <v>61</v>
      </c>
    </row>
    <row r="14" spans="1:11" x14ac:dyDescent="0.3">
      <c r="A14" s="3" t="s">
        <v>62</v>
      </c>
      <c r="B14" s="4">
        <v>45714</v>
      </c>
      <c r="C14" s="3" t="s">
        <v>63</v>
      </c>
      <c r="D14" s="3" t="s">
        <v>59</v>
      </c>
      <c r="E14" s="3" t="s">
        <v>48</v>
      </c>
      <c r="F14" s="3" t="s">
        <v>49</v>
      </c>
      <c r="G14" s="3">
        <v>8</v>
      </c>
      <c r="H14" s="3">
        <v>8263</v>
      </c>
      <c r="I14" s="3">
        <v>66104</v>
      </c>
      <c r="J14" s="3" t="s">
        <v>16</v>
      </c>
      <c r="K14" s="3" t="s">
        <v>64</v>
      </c>
    </row>
    <row r="15" spans="1:11" x14ac:dyDescent="0.3">
      <c r="A15" s="5" t="s">
        <v>65</v>
      </c>
      <c r="B15" s="6">
        <v>45897</v>
      </c>
      <c r="C15" s="5" t="s">
        <v>66</v>
      </c>
      <c r="D15" s="5" t="s">
        <v>59</v>
      </c>
      <c r="E15" s="5" t="s">
        <v>67</v>
      </c>
      <c r="F15" s="5" t="s">
        <v>68</v>
      </c>
      <c r="G15" s="5">
        <v>2</v>
      </c>
      <c r="H15" s="5">
        <v>488</v>
      </c>
      <c r="I15" s="5">
        <v>976</v>
      </c>
      <c r="J15" s="5" t="s">
        <v>16</v>
      </c>
      <c r="K15" s="5" t="s">
        <v>56</v>
      </c>
    </row>
    <row r="16" spans="1:11" x14ac:dyDescent="0.3">
      <c r="A16" s="3" t="s">
        <v>69</v>
      </c>
      <c r="B16" s="4">
        <v>45832</v>
      </c>
      <c r="C16" s="3" t="s">
        <v>70</v>
      </c>
      <c r="D16" s="3" t="s">
        <v>55</v>
      </c>
      <c r="E16" s="3" t="s">
        <v>20</v>
      </c>
      <c r="F16" s="3" t="s">
        <v>15</v>
      </c>
      <c r="G16" s="3">
        <v>9</v>
      </c>
      <c r="H16" s="3">
        <v>57759</v>
      </c>
      <c r="I16" s="3">
        <v>519831</v>
      </c>
      <c r="J16" s="3" t="s">
        <v>16</v>
      </c>
      <c r="K16" s="3" t="s">
        <v>56</v>
      </c>
    </row>
    <row r="17" spans="1:11" x14ac:dyDescent="0.3">
      <c r="A17" s="5" t="s">
        <v>71</v>
      </c>
      <c r="B17" s="6">
        <v>45917</v>
      </c>
      <c r="C17" s="5" t="s">
        <v>72</v>
      </c>
      <c r="D17" s="5" t="s">
        <v>29</v>
      </c>
      <c r="E17" s="5" t="s">
        <v>73</v>
      </c>
      <c r="F17" s="5" t="s">
        <v>68</v>
      </c>
      <c r="G17" s="5">
        <v>5</v>
      </c>
      <c r="H17" s="5">
        <v>1313</v>
      </c>
      <c r="I17" s="5">
        <v>6565</v>
      </c>
      <c r="J17" s="5" t="s">
        <v>35</v>
      </c>
      <c r="K17" s="5" t="s">
        <v>42</v>
      </c>
    </row>
    <row r="18" spans="1:11" x14ac:dyDescent="0.3">
      <c r="A18" s="3" t="s">
        <v>74</v>
      </c>
      <c r="B18" s="4">
        <v>45934</v>
      </c>
      <c r="C18" s="3" t="s">
        <v>75</v>
      </c>
      <c r="D18" s="3" t="s">
        <v>13</v>
      </c>
      <c r="E18" s="3" t="s">
        <v>60</v>
      </c>
      <c r="F18" s="3" t="s">
        <v>25</v>
      </c>
      <c r="G18" s="3">
        <v>4</v>
      </c>
      <c r="H18" s="3">
        <v>1395</v>
      </c>
      <c r="I18" s="3">
        <v>5580</v>
      </c>
      <c r="J18" s="3" t="s">
        <v>16</v>
      </c>
      <c r="K18" s="3" t="s">
        <v>36</v>
      </c>
    </row>
    <row r="19" spans="1:11" x14ac:dyDescent="0.3">
      <c r="A19" s="5" t="s">
        <v>76</v>
      </c>
      <c r="B19" s="6">
        <v>45815</v>
      </c>
      <c r="C19" s="5" t="s">
        <v>77</v>
      </c>
      <c r="D19" s="5" t="s">
        <v>59</v>
      </c>
      <c r="E19" s="5" t="s">
        <v>45</v>
      </c>
      <c r="F19" s="5" t="s">
        <v>31</v>
      </c>
      <c r="G19" s="5">
        <v>1</v>
      </c>
      <c r="H19" s="5">
        <v>1660</v>
      </c>
      <c r="I19" s="5">
        <v>1660</v>
      </c>
      <c r="J19" s="5" t="s">
        <v>16</v>
      </c>
      <c r="K19" s="5" t="s">
        <v>39</v>
      </c>
    </row>
    <row r="20" spans="1:11" x14ac:dyDescent="0.3">
      <c r="A20" s="3" t="s">
        <v>78</v>
      </c>
      <c r="B20" s="4">
        <v>45930</v>
      </c>
      <c r="C20" s="3" t="s">
        <v>79</v>
      </c>
      <c r="D20" s="3" t="s">
        <v>59</v>
      </c>
      <c r="E20" s="3" t="s">
        <v>80</v>
      </c>
      <c r="F20" s="3" t="s">
        <v>25</v>
      </c>
      <c r="G20" s="3">
        <v>2</v>
      </c>
      <c r="H20" s="3">
        <v>2615</v>
      </c>
      <c r="I20" s="3">
        <v>5230</v>
      </c>
      <c r="J20" s="3" t="s">
        <v>16</v>
      </c>
      <c r="K20" s="3" t="s">
        <v>81</v>
      </c>
    </row>
    <row r="21" spans="1:11" x14ac:dyDescent="0.3">
      <c r="A21" s="5" t="s">
        <v>82</v>
      </c>
      <c r="B21" s="6">
        <v>45766</v>
      </c>
      <c r="C21" s="5" t="s">
        <v>83</v>
      </c>
      <c r="D21" s="5" t="s">
        <v>13</v>
      </c>
      <c r="E21" s="5" t="s">
        <v>80</v>
      </c>
      <c r="F21" s="5" t="s">
        <v>25</v>
      </c>
      <c r="G21" s="5">
        <v>5</v>
      </c>
      <c r="H21" s="5">
        <v>2513</v>
      </c>
      <c r="I21" s="5">
        <v>12565</v>
      </c>
      <c r="J21" s="5" t="s">
        <v>16</v>
      </c>
      <c r="K21" s="5" t="s">
        <v>84</v>
      </c>
    </row>
    <row r="22" spans="1:11" x14ac:dyDescent="0.3">
      <c r="A22" s="3" t="s">
        <v>85</v>
      </c>
      <c r="B22" s="4">
        <v>45849</v>
      </c>
      <c r="C22" s="3" t="s">
        <v>86</v>
      </c>
      <c r="D22" s="3" t="s">
        <v>13</v>
      </c>
      <c r="E22" s="3" t="s">
        <v>48</v>
      </c>
      <c r="F22" s="3" t="s">
        <v>49</v>
      </c>
      <c r="G22" s="3">
        <v>5</v>
      </c>
      <c r="H22" s="3">
        <v>8818</v>
      </c>
      <c r="I22" s="3">
        <v>44090</v>
      </c>
      <c r="J22" s="3" t="s">
        <v>16</v>
      </c>
      <c r="K22" s="3" t="s">
        <v>36</v>
      </c>
    </row>
    <row r="23" spans="1:11" x14ac:dyDescent="0.3">
      <c r="A23" s="5" t="s">
        <v>87</v>
      </c>
      <c r="B23" s="6">
        <v>45941</v>
      </c>
      <c r="C23" s="5" t="s">
        <v>88</v>
      </c>
      <c r="D23" s="5" t="s">
        <v>29</v>
      </c>
      <c r="E23" s="5" t="s">
        <v>52</v>
      </c>
      <c r="F23" s="5" t="s">
        <v>15</v>
      </c>
      <c r="G23" s="5">
        <v>4</v>
      </c>
      <c r="H23" s="5">
        <v>22820</v>
      </c>
      <c r="I23" s="5">
        <v>91280</v>
      </c>
      <c r="J23" s="5" t="s">
        <v>16</v>
      </c>
      <c r="K23" s="5" t="s">
        <v>89</v>
      </c>
    </row>
    <row r="24" spans="1:11" x14ac:dyDescent="0.3">
      <c r="A24" s="3" t="s">
        <v>90</v>
      </c>
      <c r="B24" s="4">
        <v>45827</v>
      </c>
      <c r="C24" s="3" t="s">
        <v>91</v>
      </c>
      <c r="D24" s="3" t="s">
        <v>59</v>
      </c>
      <c r="E24" s="3" t="s">
        <v>20</v>
      </c>
      <c r="F24" s="3" t="s">
        <v>15</v>
      </c>
      <c r="G24" s="3">
        <v>4</v>
      </c>
      <c r="H24" s="3">
        <v>50241</v>
      </c>
      <c r="I24" s="3">
        <v>200964</v>
      </c>
      <c r="J24" s="3" t="s">
        <v>16</v>
      </c>
      <c r="K24" s="3" t="s">
        <v>92</v>
      </c>
    </row>
    <row r="25" spans="1:11" x14ac:dyDescent="0.3">
      <c r="A25" s="5" t="s">
        <v>93</v>
      </c>
      <c r="B25" s="6">
        <v>45950</v>
      </c>
      <c r="C25" s="5" t="s">
        <v>94</v>
      </c>
      <c r="D25" s="5" t="s">
        <v>59</v>
      </c>
      <c r="E25" s="5" t="s">
        <v>73</v>
      </c>
      <c r="F25" s="5" t="s">
        <v>68</v>
      </c>
      <c r="G25" s="5">
        <v>9</v>
      </c>
      <c r="H25" s="5">
        <v>1111</v>
      </c>
      <c r="I25" s="5">
        <v>9999</v>
      </c>
      <c r="J25" s="5" t="s">
        <v>35</v>
      </c>
      <c r="K25" s="5" t="s">
        <v>95</v>
      </c>
    </row>
    <row r="26" spans="1:11" x14ac:dyDescent="0.3">
      <c r="A26" s="3" t="s">
        <v>96</v>
      </c>
      <c r="B26" s="4">
        <v>45839</v>
      </c>
      <c r="C26" s="3" t="s">
        <v>97</v>
      </c>
      <c r="D26" s="3" t="s">
        <v>59</v>
      </c>
      <c r="E26" s="3" t="s">
        <v>98</v>
      </c>
      <c r="F26" s="3" t="s">
        <v>68</v>
      </c>
      <c r="G26" s="3">
        <v>4</v>
      </c>
      <c r="H26" s="3">
        <v>1653</v>
      </c>
      <c r="I26" s="3">
        <v>6612</v>
      </c>
      <c r="J26" s="3" t="s">
        <v>16</v>
      </c>
      <c r="K26" s="3" t="s">
        <v>99</v>
      </c>
    </row>
    <row r="27" spans="1:11" x14ac:dyDescent="0.3">
      <c r="A27" s="5" t="s">
        <v>100</v>
      </c>
      <c r="B27" s="6">
        <v>45713</v>
      </c>
      <c r="C27" s="5" t="s">
        <v>101</v>
      </c>
      <c r="D27" s="5" t="s">
        <v>29</v>
      </c>
      <c r="E27" s="5" t="s">
        <v>20</v>
      </c>
      <c r="F27" s="5" t="s">
        <v>15</v>
      </c>
      <c r="G27" s="5">
        <v>1</v>
      </c>
      <c r="H27" s="5">
        <v>53928</v>
      </c>
      <c r="I27" s="5">
        <v>53928</v>
      </c>
      <c r="J27" s="5" t="s">
        <v>16</v>
      </c>
      <c r="K27" s="5" t="s">
        <v>21</v>
      </c>
    </row>
    <row r="28" spans="1:11" x14ac:dyDescent="0.3">
      <c r="A28" s="3" t="s">
        <v>102</v>
      </c>
      <c r="B28" s="4">
        <v>45696</v>
      </c>
      <c r="C28" s="3" t="s">
        <v>103</v>
      </c>
      <c r="D28" s="3" t="s">
        <v>59</v>
      </c>
      <c r="E28" s="3" t="s">
        <v>73</v>
      </c>
      <c r="F28" s="3" t="s">
        <v>68</v>
      </c>
      <c r="G28" s="3">
        <v>7</v>
      </c>
      <c r="H28" s="3">
        <v>1124</v>
      </c>
      <c r="I28" s="3">
        <v>7868</v>
      </c>
      <c r="J28" s="3" t="s">
        <v>16</v>
      </c>
      <c r="K28" s="3" t="s">
        <v>84</v>
      </c>
    </row>
    <row r="29" spans="1:11" x14ac:dyDescent="0.3">
      <c r="A29" s="5" t="s">
        <v>104</v>
      </c>
      <c r="B29" s="6">
        <v>45665</v>
      </c>
      <c r="C29" s="5" t="s">
        <v>105</v>
      </c>
      <c r="D29" s="5" t="s">
        <v>55</v>
      </c>
      <c r="E29" s="5" t="s">
        <v>80</v>
      </c>
      <c r="F29" s="5" t="s">
        <v>25</v>
      </c>
      <c r="G29" s="5">
        <v>1</v>
      </c>
      <c r="H29" s="5">
        <v>2576</v>
      </c>
      <c r="I29" s="5">
        <v>2576</v>
      </c>
      <c r="J29" s="5" t="s">
        <v>16</v>
      </c>
      <c r="K29" s="5" t="s">
        <v>36</v>
      </c>
    </row>
    <row r="30" spans="1:11" x14ac:dyDescent="0.3">
      <c r="A30" s="3" t="s">
        <v>106</v>
      </c>
      <c r="B30" s="4">
        <v>45863</v>
      </c>
      <c r="C30" s="3" t="s">
        <v>107</v>
      </c>
      <c r="D30" s="3" t="s">
        <v>55</v>
      </c>
      <c r="E30" s="3" t="s">
        <v>108</v>
      </c>
      <c r="F30" s="3" t="s">
        <v>49</v>
      </c>
      <c r="G30" s="3">
        <v>7</v>
      </c>
      <c r="H30" s="3">
        <v>6979</v>
      </c>
      <c r="I30" s="3">
        <v>48853</v>
      </c>
      <c r="J30" s="3" t="s">
        <v>16</v>
      </c>
      <c r="K30" s="3" t="s">
        <v>81</v>
      </c>
    </row>
    <row r="31" spans="1:11" x14ac:dyDescent="0.3">
      <c r="A31" s="5" t="s">
        <v>109</v>
      </c>
      <c r="B31" s="6">
        <v>45942</v>
      </c>
      <c r="C31" s="5" t="s">
        <v>110</v>
      </c>
      <c r="D31" s="5" t="s">
        <v>29</v>
      </c>
      <c r="E31" s="5" t="s">
        <v>98</v>
      </c>
      <c r="F31" s="5" t="s">
        <v>68</v>
      </c>
      <c r="G31" s="5">
        <v>8</v>
      </c>
      <c r="H31" s="5">
        <v>1722</v>
      </c>
      <c r="I31" s="5">
        <v>13776</v>
      </c>
      <c r="J31" s="5" t="s">
        <v>16</v>
      </c>
      <c r="K31" s="5" t="s">
        <v>26</v>
      </c>
    </row>
    <row r="32" spans="1:11" x14ac:dyDescent="0.3">
      <c r="A32" s="3" t="s">
        <v>111</v>
      </c>
      <c r="B32" s="4">
        <v>45935</v>
      </c>
      <c r="C32" s="3" t="s">
        <v>112</v>
      </c>
      <c r="D32" s="3" t="s">
        <v>29</v>
      </c>
      <c r="E32" s="3" t="s">
        <v>113</v>
      </c>
      <c r="F32" s="3" t="s">
        <v>49</v>
      </c>
      <c r="G32" s="3">
        <v>4</v>
      </c>
      <c r="H32" s="3">
        <v>13124</v>
      </c>
      <c r="I32" s="3">
        <v>52496</v>
      </c>
      <c r="J32" s="3" t="s">
        <v>16</v>
      </c>
      <c r="K32" s="3" t="s">
        <v>26</v>
      </c>
    </row>
    <row r="33" spans="1:11" x14ac:dyDescent="0.3">
      <c r="A33" s="5" t="s">
        <v>114</v>
      </c>
      <c r="B33" s="6">
        <v>45687</v>
      </c>
      <c r="C33" s="5" t="s">
        <v>115</v>
      </c>
      <c r="D33" s="5" t="s">
        <v>59</v>
      </c>
      <c r="E33" s="5" t="s">
        <v>116</v>
      </c>
      <c r="F33" s="5" t="s">
        <v>15</v>
      </c>
      <c r="G33" s="5">
        <v>9</v>
      </c>
      <c r="H33" s="5">
        <v>8671</v>
      </c>
      <c r="I33" s="5">
        <v>78039</v>
      </c>
      <c r="J33" s="5" t="s">
        <v>16</v>
      </c>
      <c r="K33" s="5" t="s">
        <v>17</v>
      </c>
    </row>
    <row r="34" spans="1:11" x14ac:dyDescent="0.3">
      <c r="A34" s="3" t="s">
        <v>117</v>
      </c>
      <c r="B34" s="4">
        <v>45949</v>
      </c>
      <c r="C34" s="3" t="s">
        <v>118</v>
      </c>
      <c r="D34" s="3" t="s">
        <v>55</v>
      </c>
      <c r="E34" s="3" t="s">
        <v>20</v>
      </c>
      <c r="F34" s="3" t="s">
        <v>15</v>
      </c>
      <c r="G34" s="3">
        <v>4</v>
      </c>
      <c r="H34" s="3">
        <v>53941</v>
      </c>
      <c r="I34" s="3">
        <v>215764</v>
      </c>
      <c r="J34" s="3" t="s">
        <v>35</v>
      </c>
      <c r="K34" s="3" t="s">
        <v>89</v>
      </c>
    </row>
    <row r="35" spans="1:11" x14ac:dyDescent="0.3">
      <c r="A35" s="5" t="s">
        <v>119</v>
      </c>
      <c r="B35" s="6">
        <v>45819</v>
      </c>
      <c r="C35" s="5" t="s">
        <v>120</v>
      </c>
      <c r="D35" s="5" t="s">
        <v>13</v>
      </c>
      <c r="E35" s="5" t="s">
        <v>80</v>
      </c>
      <c r="F35" s="5" t="s">
        <v>25</v>
      </c>
      <c r="G35" s="5">
        <v>7</v>
      </c>
      <c r="H35" s="5">
        <v>2578</v>
      </c>
      <c r="I35" s="5">
        <v>18046</v>
      </c>
      <c r="J35" s="5" t="s">
        <v>16</v>
      </c>
      <c r="K35" s="5" t="s">
        <v>21</v>
      </c>
    </row>
    <row r="36" spans="1:11" x14ac:dyDescent="0.3">
      <c r="A36" s="3" t="s">
        <v>121</v>
      </c>
      <c r="B36" s="4">
        <v>45811</v>
      </c>
      <c r="C36" s="3" t="s">
        <v>122</v>
      </c>
      <c r="D36" s="3" t="s">
        <v>13</v>
      </c>
      <c r="E36" s="3" t="s">
        <v>30</v>
      </c>
      <c r="F36" s="3" t="s">
        <v>31</v>
      </c>
      <c r="G36" s="3">
        <v>5</v>
      </c>
      <c r="H36" s="3">
        <v>783</v>
      </c>
      <c r="I36" s="3">
        <v>3915</v>
      </c>
      <c r="J36" s="3" t="s">
        <v>16</v>
      </c>
      <c r="K36" s="3" t="s">
        <v>61</v>
      </c>
    </row>
    <row r="37" spans="1:11" x14ac:dyDescent="0.3">
      <c r="A37" s="5" t="s">
        <v>123</v>
      </c>
      <c r="B37" s="6">
        <v>45709</v>
      </c>
      <c r="C37" s="5" t="s">
        <v>124</v>
      </c>
      <c r="D37" s="5" t="s">
        <v>55</v>
      </c>
      <c r="E37" s="5" t="s">
        <v>20</v>
      </c>
      <c r="F37" s="5" t="s">
        <v>15</v>
      </c>
      <c r="G37" s="5">
        <v>8</v>
      </c>
      <c r="H37" s="5">
        <v>56332</v>
      </c>
      <c r="I37" s="5">
        <v>450656</v>
      </c>
      <c r="J37" s="5" t="s">
        <v>16</v>
      </c>
      <c r="K37" s="5" t="s">
        <v>92</v>
      </c>
    </row>
    <row r="38" spans="1:11" x14ac:dyDescent="0.3">
      <c r="A38" s="3" t="s">
        <v>125</v>
      </c>
      <c r="B38" s="4">
        <v>45847</v>
      </c>
      <c r="C38" s="3" t="s">
        <v>126</v>
      </c>
      <c r="D38" s="3" t="s">
        <v>59</v>
      </c>
      <c r="E38" s="3" t="s">
        <v>30</v>
      </c>
      <c r="F38" s="3" t="s">
        <v>31</v>
      </c>
      <c r="G38" s="3">
        <v>6</v>
      </c>
      <c r="H38" s="3">
        <v>860</v>
      </c>
      <c r="I38" s="3">
        <v>5160</v>
      </c>
      <c r="J38" s="3" t="s">
        <v>16</v>
      </c>
      <c r="K38" s="3" t="s">
        <v>81</v>
      </c>
    </row>
    <row r="39" spans="1:11" x14ac:dyDescent="0.3">
      <c r="A39" s="5" t="s">
        <v>127</v>
      </c>
      <c r="B39" s="6">
        <v>45992</v>
      </c>
      <c r="C39" s="5" t="s">
        <v>66</v>
      </c>
      <c r="D39" s="5" t="s">
        <v>29</v>
      </c>
      <c r="E39" s="5" t="s">
        <v>60</v>
      </c>
      <c r="F39" s="5" t="s">
        <v>25</v>
      </c>
      <c r="G39" s="5">
        <v>5</v>
      </c>
      <c r="H39" s="5">
        <v>1533</v>
      </c>
      <c r="I39" s="5">
        <v>7665</v>
      </c>
      <c r="J39" s="5" t="s">
        <v>128</v>
      </c>
      <c r="K39" s="5" t="s">
        <v>39</v>
      </c>
    </row>
    <row r="40" spans="1:11" x14ac:dyDescent="0.3">
      <c r="A40" s="3" t="s">
        <v>129</v>
      </c>
      <c r="B40" s="4">
        <v>45717</v>
      </c>
      <c r="C40" s="3" t="s">
        <v>72</v>
      </c>
      <c r="D40" s="3" t="s">
        <v>13</v>
      </c>
      <c r="E40" s="3" t="s">
        <v>24</v>
      </c>
      <c r="F40" s="3" t="s">
        <v>25</v>
      </c>
      <c r="G40" s="3">
        <v>2</v>
      </c>
      <c r="H40" s="3">
        <v>1305</v>
      </c>
      <c r="I40" s="3">
        <v>2610</v>
      </c>
      <c r="J40" s="3" t="s">
        <v>16</v>
      </c>
      <c r="K40" s="3" t="s">
        <v>26</v>
      </c>
    </row>
    <row r="41" spans="1:11" x14ac:dyDescent="0.3">
      <c r="A41" s="5" t="s">
        <v>130</v>
      </c>
      <c r="B41" s="6">
        <v>46009</v>
      </c>
      <c r="C41" s="5" t="s">
        <v>131</v>
      </c>
      <c r="D41" s="5" t="s">
        <v>13</v>
      </c>
      <c r="E41" s="5" t="s">
        <v>45</v>
      </c>
      <c r="F41" s="5" t="s">
        <v>31</v>
      </c>
      <c r="G41" s="5">
        <v>10</v>
      </c>
      <c r="H41" s="5">
        <v>1695</v>
      </c>
      <c r="I41" s="5">
        <v>16950</v>
      </c>
      <c r="J41" s="5" t="s">
        <v>16</v>
      </c>
      <c r="K41" s="5" t="s">
        <v>42</v>
      </c>
    </row>
    <row r="42" spans="1:11" x14ac:dyDescent="0.3">
      <c r="A42" s="3" t="s">
        <v>132</v>
      </c>
      <c r="B42" s="4">
        <v>45799</v>
      </c>
      <c r="C42" s="3" t="s">
        <v>133</v>
      </c>
      <c r="D42" s="3" t="s">
        <v>59</v>
      </c>
      <c r="E42" s="3" t="s">
        <v>98</v>
      </c>
      <c r="F42" s="3" t="s">
        <v>68</v>
      </c>
      <c r="G42" s="3">
        <v>1</v>
      </c>
      <c r="H42" s="3">
        <v>1653</v>
      </c>
      <c r="I42" s="3">
        <v>1653</v>
      </c>
      <c r="J42" s="3" t="s">
        <v>16</v>
      </c>
      <c r="K42" s="3" t="s">
        <v>39</v>
      </c>
    </row>
    <row r="43" spans="1:11" x14ac:dyDescent="0.3">
      <c r="A43" s="5" t="s">
        <v>134</v>
      </c>
      <c r="B43" s="6">
        <v>46019</v>
      </c>
      <c r="C43" s="5" t="s">
        <v>135</v>
      </c>
      <c r="D43" s="5" t="s">
        <v>59</v>
      </c>
      <c r="E43" s="5" t="s">
        <v>48</v>
      </c>
      <c r="F43" s="5" t="s">
        <v>49</v>
      </c>
      <c r="G43" s="5">
        <v>5</v>
      </c>
      <c r="H43" s="5">
        <v>8390</v>
      </c>
      <c r="I43" s="5">
        <v>41950</v>
      </c>
      <c r="J43" s="5" t="s">
        <v>16</v>
      </c>
      <c r="K43" s="5" t="s">
        <v>92</v>
      </c>
    </row>
    <row r="44" spans="1:11" x14ac:dyDescent="0.3">
      <c r="A44" s="3" t="s">
        <v>136</v>
      </c>
      <c r="B44" s="4">
        <v>45940</v>
      </c>
      <c r="C44" s="3" t="s">
        <v>137</v>
      </c>
      <c r="D44" s="3" t="s">
        <v>59</v>
      </c>
      <c r="E44" s="3" t="s">
        <v>52</v>
      </c>
      <c r="F44" s="3" t="s">
        <v>15</v>
      </c>
      <c r="G44" s="3">
        <v>9</v>
      </c>
      <c r="H44" s="3">
        <v>22680</v>
      </c>
      <c r="I44" s="3">
        <v>204120</v>
      </c>
      <c r="J44" s="3" t="s">
        <v>16</v>
      </c>
      <c r="K44" s="3" t="s">
        <v>99</v>
      </c>
    </row>
    <row r="45" spans="1:11" x14ac:dyDescent="0.3">
      <c r="A45" s="5" t="s">
        <v>138</v>
      </c>
      <c r="B45" s="6">
        <v>45785</v>
      </c>
      <c r="C45" s="5" t="s">
        <v>139</v>
      </c>
      <c r="D45" s="5" t="s">
        <v>59</v>
      </c>
      <c r="E45" s="5" t="s">
        <v>45</v>
      </c>
      <c r="F45" s="5" t="s">
        <v>31</v>
      </c>
      <c r="G45" s="5">
        <v>1</v>
      </c>
      <c r="H45" s="5">
        <v>1943</v>
      </c>
      <c r="I45" s="5">
        <v>1943</v>
      </c>
      <c r="J45" s="5" t="s">
        <v>16</v>
      </c>
      <c r="K45" s="5" t="s">
        <v>17</v>
      </c>
    </row>
    <row r="46" spans="1:11" x14ac:dyDescent="0.3">
      <c r="A46" s="3" t="s">
        <v>140</v>
      </c>
      <c r="B46" s="4">
        <v>45779</v>
      </c>
      <c r="C46" s="3" t="s">
        <v>141</v>
      </c>
      <c r="D46" s="3" t="s">
        <v>29</v>
      </c>
      <c r="E46" s="3" t="s">
        <v>24</v>
      </c>
      <c r="F46" s="3" t="s">
        <v>25</v>
      </c>
      <c r="G46" s="3">
        <v>10</v>
      </c>
      <c r="H46" s="3">
        <v>1259</v>
      </c>
      <c r="I46" s="3">
        <v>12590</v>
      </c>
      <c r="J46" s="3" t="s">
        <v>128</v>
      </c>
      <c r="K46" s="3" t="s">
        <v>84</v>
      </c>
    </row>
    <row r="47" spans="1:11" x14ac:dyDescent="0.3">
      <c r="A47" s="5" t="s">
        <v>142</v>
      </c>
      <c r="B47" s="6">
        <v>45868</v>
      </c>
      <c r="C47" s="5" t="s">
        <v>143</v>
      </c>
      <c r="D47" s="5" t="s">
        <v>55</v>
      </c>
      <c r="E47" s="5" t="s">
        <v>73</v>
      </c>
      <c r="F47" s="5" t="s">
        <v>68</v>
      </c>
      <c r="G47" s="5">
        <v>3</v>
      </c>
      <c r="H47" s="5">
        <v>1256</v>
      </c>
      <c r="I47" s="5">
        <v>3768</v>
      </c>
      <c r="J47" s="5" t="s">
        <v>16</v>
      </c>
      <c r="K47" s="5" t="s">
        <v>42</v>
      </c>
    </row>
    <row r="48" spans="1:11" x14ac:dyDescent="0.3">
      <c r="A48" s="3" t="s">
        <v>144</v>
      </c>
      <c r="B48" s="4">
        <v>45677</v>
      </c>
      <c r="C48" s="3" t="s">
        <v>145</v>
      </c>
      <c r="D48" s="3" t="s">
        <v>13</v>
      </c>
      <c r="E48" s="3" t="s">
        <v>113</v>
      </c>
      <c r="F48" s="3" t="s">
        <v>49</v>
      </c>
      <c r="G48" s="3">
        <v>3</v>
      </c>
      <c r="H48" s="3">
        <v>12689</v>
      </c>
      <c r="I48" s="3">
        <v>38067</v>
      </c>
      <c r="J48" s="3" t="s">
        <v>16</v>
      </c>
      <c r="K48" s="3" t="s">
        <v>21</v>
      </c>
    </row>
    <row r="49" spans="1:11" x14ac:dyDescent="0.3">
      <c r="A49" s="5" t="s">
        <v>146</v>
      </c>
      <c r="B49" s="6">
        <v>45772</v>
      </c>
      <c r="C49" s="5" t="s">
        <v>147</v>
      </c>
      <c r="D49" s="5" t="s">
        <v>59</v>
      </c>
      <c r="E49" s="5" t="s">
        <v>98</v>
      </c>
      <c r="F49" s="5" t="s">
        <v>68</v>
      </c>
      <c r="G49" s="5">
        <v>5</v>
      </c>
      <c r="H49" s="5">
        <v>1915</v>
      </c>
      <c r="I49" s="5">
        <v>9575</v>
      </c>
      <c r="J49" s="5" t="s">
        <v>16</v>
      </c>
      <c r="K49" s="5" t="s">
        <v>64</v>
      </c>
    </row>
    <row r="50" spans="1:11" x14ac:dyDescent="0.3">
      <c r="A50" s="3" t="s">
        <v>148</v>
      </c>
      <c r="B50" s="4">
        <v>45986</v>
      </c>
      <c r="C50" s="3" t="s">
        <v>115</v>
      </c>
      <c r="D50" s="3" t="s">
        <v>59</v>
      </c>
      <c r="E50" s="3" t="s">
        <v>45</v>
      </c>
      <c r="F50" s="3" t="s">
        <v>31</v>
      </c>
      <c r="G50" s="3">
        <v>2</v>
      </c>
      <c r="H50" s="3">
        <v>1968</v>
      </c>
      <c r="I50" s="3">
        <v>3936</v>
      </c>
      <c r="J50" s="3" t="s">
        <v>16</v>
      </c>
      <c r="K50" s="3" t="s">
        <v>99</v>
      </c>
    </row>
    <row r="51" spans="1:11" x14ac:dyDescent="0.3">
      <c r="A51" s="5" t="s">
        <v>149</v>
      </c>
      <c r="B51" s="6">
        <v>45749</v>
      </c>
      <c r="C51" s="5" t="s">
        <v>150</v>
      </c>
      <c r="D51" s="5" t="s">
        <v>13</v>
      </c>
      <c r="E51" s="5" t="s">
        <v>24</v>
      </c>
      <c r="F51" s="5" t="s">
        <v>25</v>
      </c>
      <c r="G51" s="5">
        <v>1</v>
      </c>
      <c r="H51" s="5">
        <v>1107</v>
      </c>
      <c r="I51" s="5">
        <v>1107</v>
      </c>
      <c r="J51" s="5" t="s">
        <v>128</v>
      </c>
      <c r="K51" s="5" t="s">
        <v>56</v>
      </c>
    </row>
    <row r="52" spans="1:11" x14ac:dyDescent="0.3">
      <c r="A52" s="3" t="s">
        <v>151</v>
      </c>
      <c r="B52" s="4">
        <v>45968</v>
      </c>
      <c r="C52" s="3" t="s">
        <v>152</v>
      </c>
      <c r="D52" s="3" t="s">
        <v>59</v>
      </c>
      <c r="E52" s="3" t="s">
        <v>24</v>
      </c>
      <c r="F52" s="3" t="s">
        <v>25</v>
      </c>
      <c r="G52" s="3">
        <v>6</v>
      </c>
      <c r="H52" s="3">
        <v>1254</v>
      </c>
      <c r="I52" s="3">
        <v>7524</v>
      </c>
      <c r="J52" s="3" t="s">
        <v>16</v>
      </c>
      <c r="K52" s="3" t="s">
        <v>17</v>
      </c>
    </row>
    <row r="53" spans="1:11" x14ac:dyDescent="0.3">
      <c r="A53" s="5" t="s">
        <v>153</v>
      </c>
      <c r="B53" s="6">
        <v>45924</v>
      </c>
      <c r="C53" s="5" t="s">
        <v>154</v>
      </c>
      <c r="D53" s="5" t="s">
        <v>29</v>
      </c>
      <c r="E53" s="5" t="s">
        <v>80</v>
      </c>
      <c r="F53" s="5" t="s">
        <v>25</v>
      </c>
      <c r="G53" s="5">
        <v>5</v>
      </c>
      <c r="H53" s="5">
        <v>2272</v>
      </c>
      <c r="I53" s="5">
        <v>11360</v>
      </c>
      <c r="J53" s="5" t="s">
        <v>16</v>
      </c>
      <c r="K53" s="5" t="s">
        <v>64</v>
      </c>
    </row>
    <row r="54" spans="1:11" x14ac:dyDescent="0.3">
      <c r="A54" s="3" t="s">
        <v>155</v>
      </c>
      <c r="B54" s="4">
        <v>45827</v>
      </c>
      <c r="C54" s="3" t="s">
        <v>156</v>
      </c>
      <c r="D54" s="3" t="s">
        <v>13</v>
      </c>
      <c r="E54" s="3" t="s">
        <v>113</v>
      </c>
      <c r="F54" s="3" t="s">
        <v>49</v>
      </c>
      <c r="G54" s="3">
        <v>7</v>
      </c>
      <c r="H54" s="3">
        <v>10967</v>
      </c>
      <c r="I54" s="3">
        <v>76769</v>
      </c>
      <c r="J54" s="3" t="s">
        <v>16</v>
      </c>
      <c r="K54" s="3" t="s">
        <v>61</v>
      </c>
    </row>
    <row r="55" spans="1:11" x14ac:dyDescent="0.3">
      <c r="A55" s="5" t="s">
        <v>157</v>
      </c>
      <c r="B55" s="6">
        <v>45864</v>
      </c>
      <c r="C55" s="5" t="s">
        <v>158</v>
      </c>
      <c r="D55" s="5" t="s">
        <v>13</v>
      </c>
      <c r="E55" s="5" t="s">
        <v>14</v>
      </c>
      <c r="F55" s="5" t="s">
        <v>15</v>
      </c>
      <c r="G55" s="5">
        <v>9</v>
      </c>
      <c r="H55" s="5">
        <v>2885</v>
      </c>
      <c r="I55" s="5">
        <v>25965</v>
      </c>
      <c r="J55" s="5" t="s">
        <v>16</v>
      </c>
      <c r="K55" s="5" t="s">
        <v>92</v>
      </c>
    </row>
    <row r="56" spans="1:11" x14ac:dyDescent="0.3">
      <c r="A56" s="3" t="s">
        <v>159</v>
      </c>
      <c r="B56" s="4">
        <v>45973</v>
      </c>
      <c r="C56" s="3" t="s">
        <v>160</v>
      </c>
      <c r="D56" s="3" t="s">
        <v>59</v>
      </c>
      <c r="E56" s="3" t="s">
        <v>67</v>
      </c>
      <c r="F56" s="3" t="s">
        <v>68</v>
      </c>
      <c r="G56" s="3">
        <v>7</v>
      </c>
      <c r="H56" s="3">
        <v>517</v>
      </c>
      <c r="I56" s="3">
        <v>3619</v>
      </c>
      <c r="J56" s="3" t="s">
        <v>35</v>
      </c>
      <c r="K56" s="3" t="s">
        <v>56</v>
      </c>
    </row>
    <row r="57" spans="1:11" x14ac:dyDescent="0.3">
      <c r="A57" s="5" t="s">
        <v>161</v>
      </c>
      <c r="B57" s="6">
        <v>45968</v>
      </c>
      <c r="C57" s="5" t="s">
        <v>162</v>
      </c>
      <c r="D57" s="5" t="s">
        <v>29</v>
      </c>
      <c r="E57" s="5" t="s">
        <v>14</v>
      </c>
      <c r="F57" s="5" t="s">
        <v>15</v>
      </c>
      <c r="G57" s="5">
        <v>5</v>
      </c>
      <c r="H57" s="5">
        <v>2826</v>
      </c>
      <c r="I57" s="5">
        <v>14130</v>
      </c>
      <c r="J57" s="5" t="s">
        <v>35</v>
      </c>
      <c r="K57" s="5" t="s">
        <v>61</v>
      </c>
    </row>
    <row r="58" spans="1:11" x14ac:dyDescent="0.3">
      <c r="A58" s="3" t="s">
        <v>163</v>
      </c>
      <c r="B58" s="4">
        <v>45744</v>
      </c>
      <c r="C58" s="3" t="s">
        <v>164</v>
      </c>
      <c r="D58" s="3" t="s">
        <v>29</v>
      </c>
      <c r="E58" s="3" t="s">
        <v>67</v>
      </c>
      <c r="F58" s="3" t="s">
        <v>68</v>
      </c>
      <c r="G58" s="3">
        <v>4</v>
      </c>
      <c r="H58" s="3">
        <v>501</v>
      </c>
      <c r="I58" s="3">
        <v>2004</v>
      </c>
      <c r="J58" s="3" t="s">
        <v>35</v>
      </c>
      <c r="K58" s="3" t="s">
        <v>17</v>
      </c>
    </row>
    <row r="59" spans="1:11" x14ac:dyDescent="0.3">
      <c r="A59" s="5" t="s">
        <v>165</v>
      </c>
      <c r="B59" s="6">
        <v>46002</v>
      </c>
      <c r="C59" s="5" t="s">
        <v>166</v>
      </c>
      <c r="D59" s="5" t="s">
        <v>59</v>
      </c>
      <c r="E59" s="5" t="s">
        <v>24</v>
      </c>
      <c r="F59" s="5" t="s">
        <v>25</v>
      </c>
      <c r="G59" s="5">
        <v>2</v>
      </c>
      <c r="H59" s="5">
        <v>1276</v>
      </c>
      <c r="I59" s="5">
        <v>2552</v>
      </c>
      <c r="J59" s="5" t="s">
        <v>16</v>
      </c>
      <c r="K59" s="5" t="s">
        <v>21</v>
      </c>
    </row>
    <row r="60" spans="1:11" x14ac:dyDescent="0.3">
      <c r="A60" s="3" t="s">
        <v>167</v>
      </c>
      <c r="B60" s="4">
        <v>45695</v>
      </c>
      <c r="C60" s="3" t="s">
        <v>168</v>
      </c>
      <c r="D60" s="3" t="s">
        <v>55</v>
      </c>
      <c r="E60" s="3" t="s">
        <v>108</v>
      </c>
      <c r="F60" s="3" t="s">
        <v>49</v>
      </c>
      <c r="G60" s="3">
        <v>1</v>
      </c>
      <c r="H60" s="3">
        <v>6642</v>
      </c>
      <c r="I60" s="3">
        <v>6642</v>
      </c>
      <c r="J60" s="3" t="s">
        <v>16</v>
      </c>
      <c r="K60" s="3" t="s">
        <v>99</v>
      </c>
    </row>
    <row r="61" spans="1:11" x14ac:dyDescent="0.3">
      <c r="A61" s="5" t="s">
        <v>169</v>
      </c>
      <c r="B61" s="6">
        <v>45993</v>
      </c>
      <c r="C61" s="5" t="s">
        <v>170</v>
      </c>
      <c r="D61" s="5" t="s">
        <v>55</v>
      </c>
      <c r="E61" s="5" t="s">
        <v>80</v>
      </c>
      <c r="F61" s="5" t="s">
        <v>25</v>
      </c>
      <c r="G61" s="5">
        <v>7</v>
      </c>
      <c r="H61" s="5">
        <v>2497</v>
      </c>
      <c r="I61" s="5">
        <v>17479</v>
      </c>
      <c r="J61" s="5" t="s">
        <v>16</v>
      </c>
      <c r="K61" s="5" t="s">
        <v>36</v>
      </c>
    </row>
    <row r="62" spans="1:11" x14ac:dyDescent="0.3">
      <c r="A62" s="3" t="s">
        <v>171</v>
      </c>
      <c r="B62" s="4">
        <v>45923</v>
      </c>
      <c r="C62" s="3" t="s">
        <v>172</v>
      </c>
      <c r="D62" s="3" t="s">
        <v>55</v>
      </c>
      <c r="E62" s="3" t="s">
        <v>116</v>
      </c>
      <c r="F62" s="3" t="s">
        <v>15</v>
      </c>
      <c r="G62" s="3">
        <v>4</v>
      </c>
      <c r="H62" s="3">
        <v>7481</v>
      </c>
      <c r="I62" s="3">
        <v>29924</v>
      </c>
      <c r="J62" s="3" t="s">
        <v>128</v>
      </c>
      <c r="K62" s="3" t="s">
        <v>39</v>
      </c>
    </row>
    <row r="63" spans="1:11" x14ac:dyDescent="0.3">
      <c r="A63" s="5" t="s">
        <v>173</v>
      </c>
      <c r="B63" s="6">
        <v>45944</v>
      </c>
      <c r="C63" s="5" t="s">
        <v>174</v>
      </c>
      <c r="D63" s="5" t="s">
        <v>13</v>
      </c>
      <c r="E63" s="5" t="s">
        <v>116</v>
      </c>
      <c r="F63" s="5" t="s">
        <v>15</v>
      </c>
      <c r="G63" s="5">
        <v>3</v>
      </c>
      <c r="H63" s="5">
        <v>8482</v>
      </c>
      <c r="I63" s="5">
        <v>25446</v>
      </c>
      <c r="J63" s="5" t="s">
        <v>16</v>
      </c>
      <c r="K63" s="5" t="s">
        <v>61</v>
      </c>
    </row>
    <row r="64" spans="1:11" x14ac:dyDescent="0.3">
      <c r="A64" s="3" t="s">
        <v>175</v>
      </c>
      <c r="B64" s="4">
        <v>45886</v>
      </c>
      <c r="C64" s="3" t="s">
        <v>23</v>
      </c>
      <c r="D64" s="3" t="s">
        <v>55</v>
      </c>
      <c r="E64" s="3" t="s">
        <v>67</v>
      </c>
      <c r="F64" s="3" t="s">
        <v>68</v>
      </c>
      <c r="G64" s="3">
        <v>9</v>
      </c>
      <c r="H64" s="3">
        <v>492</v>
      </c>
      <c r="I64" s="3">
        <v>4428</v>
      </c>
      <c r="J64" s="3" t="s">
        <v>35</v>
      </c>
      <c r="K64" s="3" t="s">
        <v>26</v>
      </c>
    </row>
    <row r="65" spans="1:11" x14ac:dyDescent="0.3">
      <c r="A65" s="5" t="s">
        <v>176</v>
      </c>
      <c r="B65" s="6">
        <v>45924</v>
      </c>
      <c r="C65" s="5" t="s">
        <v>177</v>
      </c>
      <c r="D65" s="5" t="s">
        <v>55</v>
      </c>
      <c r="E65" s="5" t="s">
        <v>98</v>
      </c>
      <c r="F65" s="5" t="s">
        <v>68</v>
      </c>
      <c r="G65" s="5">
        <v>4</v>
      </c>
      <c r="H65" s="5">
        <v>1922</v>
      </c>
      <c r="I65" s="5">
        <v>7688</v>
      </c>
      <c r="J65" s="5" t="s">
        <v>16</v>
      </c>
      <c r="K65" s="5" t="s">
        <v>64</v>
      </c>
    </row>
    <row r="66" spans="1:11" x14ac:dyDescent="0.3">
      <c r="A66" s="3" t="s">
        <v>178</v>
      </c>
      <c r="B66" s="4">
        <v>45934</v>
      </c>
      <c r="C66" s="3" t="s">
        <v>179</v>
      </c>
      <c r="D66" s="3" t="s">
        <v>59</v>
      </c>
      <c r="E66" s="3" t="s">
        <v>73</v>
      </c>
      <c r="F66" s="3" t="s">
        <v>68</v>
      </c>
      <c r="G66" s="3">
        <v>5</v>
      </c>
      <c r="H66" s="3">
        <v>1136</v>
      </c>
      <c r="I66" s="3">
        <v>5680</v>
      </c>
      <c r="J66" s="3" t="s">
        <v>16</v>
      </c>
      <c r="K66" s="3" t="s">
        <v>81</v>
      </c>
    </row>
    <row r="67" spans="1:11" x14ac:dyDescent="0.3">
      <c r="A67" s="5" t="s">
        <v>180</v>
      </c>
      <c r="B67" s="6">
        <v>45866</v>
      </c>
      <c r="C67" s="5" t="s">
        <v>181</v>
      </c>
      <c r="D67" s="5" t="s">
        <v>59</v>
      </c>
      <c r="E67" s="5" t="s">
        <v>67</v>
      </c>
      <c r="F67" s="5" t="s">
        <v>68</v>
      </c>
      <c r="G67" s="5">
        <v>3</v>
      </c>
      <c r="H67" s="5">
        <v>520</v>
      </c>
      <c r="I67" s="5">
        <v>1560</v>
      </c>
      <c r="J67" s="5" t="s">
        <v>16</v>
      </c>
      <c r="K67" s="5" t="s">
        <v>92</v>
      </c>
    </row>
    <row r="68" spans="1:11" x14ac:dyDescent="0.3">
      <c r="A68" s="3" t="s">
        <v>182</v>
      </c>
      <c r="B68" s="4">
        <v>46014</v>
      </c>
      <c r="C68" s="3" t="s">
        <v>183</v>
      </c>
      <c r="D68" s="3" t="s">
        <v>29</v>
      </c>
      <c r="E68" s="3" t="s">
        <v>52</v>
      </c>
      <c r="F68" s="3" t="s">
        <v>15</v>
      </c>
      <c r="G68" s="3">
        <v>7</v>
      </c>
      <c r="H68" s="3">
        <v>24447</v>
      </c>
      <c r="I68" s="3">
        <v>171129</v>
      </c>
      <c r="J68" s="3" t="s">
        <v>35</v>
      </c>
      <c r="K68" s="3" t="s">
        <v>42</v>
      </c>
    </row>
    <row r="69" spans="1:11" x14ac:dyDescent="0.3">
      <c r="A69" s="5" t="s">
        <v>184</v>
      </c>
      <c r="B69" s="6">
        <v>45857</v>
      </c>
      <c r="C69" s="5" t="s">
        <v>185</v>
      </c>
      <c r="D69" s="5" t="s">
        <v>55</v>
      </c>
      <c r="E69" s="5" t="s">
        <v>24</v>
      </c>
      <c r="F69" s="5" t="s">
        <v>25</v>
      </c>
      <c r="G69" s="5">
        <v>8</v>
      </c>
      <c r="H69" s="5">
        <v>1081</v>
      </c>
      <c r="I69" s="5">
        <v>8648</v>
      </c>
      <c r="J69" s="5" t="s">
        <v>16</v>
      </c>
      <c r="K69" s="5" t="s">
        <v>92</v>
      </c>
    </row>
    <row r="70" spans="1:11" x14ac:dyDescent="0.3">
      <c r="A70" s="3" t="s">
        <v>186</v>
      </c>
      <c r="B70" s="4">
        <v>45906</v>
      </c>
      <c r="C70" s="3" t="s">
        <v>187</v>
      </c>
      <c r="D70" s="3" t="s">
        <v>13</v>
      </c>
      <c r="E70" s="3" t="s">
        <v>60</v>
      </c>
      <c r="F70" s="3" t="s">
        <v>25</v>
      </c>
      <c r="G70" s="3">
        <v>4</v>
      </c>
      <c r="H70" s="3">
        <v>1496</v>
      </c>
      <c r="I70" s="3">
        <v>5984</v>
      </c>
      <c r="J70" s="3" t="s">
        <v>16</v>
      </c>
      <c r="K70" s="3" t="s">
        <v>99</v>
      </c>
    </row>
    <row r="71" spans="1:11" x14ac:dyDescent="0.3">
      <c r="A71" s="5" t="s">
        <v>188</v>
      </c>
      <c r="B71" s="6">
        <v>45976</v>
      </c>
      <c r="C71" s="5" t="s">
        <v>189</v>
      </c>
      <c r="D71" s="5" t="s">
        <v>59</v>
      </c>
      <c r="E71" s="5" t="s">
        <v>67</v>
      </c>
      <c r="F71" s="5" t="s">
        <v>68</v>
      </c>
      <c r="G71" s="5">
        <v>3</v>
      </c>
      <c r="H71" s="5">
        <v>534</v>
      </c>
      <c r="I71" s="5">
        <v>1602</v>
      </c>
      <c r="J71" s="5" t="s">
        <v>35</v>
      </c>
      <c r="K71" s="5" t="s">
        <v>39</v>
      </c>
    </row>
    <row r="72" spans="1:11" x14ac:dyDescent="0.3">
      <c r="A72" s="3" t="s">
        <v>190</v>
      </c>
      <c r="B72" s="4">
        <v>45894</v>
      </c>
      <c r="C72" s="3" t="s">
        <v>191</v>
      </c>
      <c r="D72" s="3" t="s">
        <v>55</v>
      </c>
      <c r="E72" s="3" t="s">
        <v>60</v>
      </c>
      <c r="F72" s="3" t="s">
        <v>25</v>
      </c>
      <c r="G72" s="3">
        <v>1</v>
      </c>
      <c r="H72" s="3">
        <v>1375</v>
      </c>
      <c r="I72" s="3">
        <v>1375</v>
      </c>
      <c r="J72" s="3" t="s">
        <v>16</v>
      </c>
      <c r="K72" s="3" t="s">
        <v>39</v>
      </c>
    </row>
    <row r="73" spans="1:11" x14ac:dyDescent="0.3">
      <c r="A73" s="5" t="s">
        <v>192</v>
      </c>
      <c r="B73" s="6">
        <v>45852</v>
      </c>
      <c r="C73" s="5" t="s">
        <v>193</v>
      </c>
      <c r="D73" s="5" t="s">
        <v>59</v>
      </c>
      <c r="E73" s="5" t="s">
        <v>30</v>
      </c>
      <c r="F73" s="5" t="s">
        <v>31</v>
      </c>
      <c r="G73" s="5">
        <v>8</v>
      </c>
      <c r="H73" s="5">
        <v>772</v>
      </c>
      <c r="I73" s="5">
        <v>6176</v>
      </c>
      <c r="J73" s="5" t="s">
        <v>16</v>
      </c>
      <c r="K73" s="5" t="s">
        <v>84</v>
      </c>
    </row>
    <row r="74" spans="1:11" x14ac:dyDescent="0.3">
      <c r="A74" s="3" t="s">
        <v>194</v>
      </c>
      <c r="B74" s="4">
        <v>45684</v>
      </c>
      <c r="C74" s="3" t="s">
        <v>195</v>
      </c>
      <c r="D74" s="3" t="s">
        <v>55</v>
      </c>
      <c r="E74" s="3" t="s">
        <v>98</v>
      </c>
      <c r="F74" s="3" t="s">
        <v>68</v>
      </c>
      <c r="G74" s="3">
        <v>2</v>
      </c>
      <c r="H74" s="3">
        <v>1789</v>
      </c>
      <c r="I74" s="3">
        <v>3578</v>
      </c>
      <c r="J74" s="3" t="s">
        <v>16</v>
      </c>
      <c r="K74" s="3" t="s">
        <v>21</v>
      </c>
    </row>
    <row r="75" spans="1:11" x14ac:dyDescent="0.3">
      <c r="A75" s="5" t="s">
        <v>196</v>
      </c>
      <c r="B75" s="6">
        <v>45736</v>
      </c>
      <c r="C75" s="5" t="s">
        <v>77</v>
      </c>
      <c r="D75" s="5" t="s">
        <v>13</v>
      </c>
      <c r="E75" s="5" t="s">
        <v>20</v>
      </c>
      <c r="F75" s="5" t="s">
        <v>15</v>
      </c>
      <c r="G75" s="5">
        <v>4</v>
      </c>
      <c r="H75" s="5">
        <v>51692</v>
      </c>
      <c r="I75" s="5">
        <v>206768</v>
      </c>
      <c r="J75" s="5" t="s">
        <v>16</v>
      </c>
      <c r="K75" s="5" t="s">
        <v>81</v>
      </c>
    </row>
    <row r="76" spans="1:11" x14ac:dyDescent="0.3">
      <c r="A76" s="3" t="s">
        <v>197</v>
      </c>
      <c r="B76" s="4">
        <v>45743</v>
      </c>
      <c r="C76" s="3" t="s">
        <v>198</v>
      </c>
      <c r="D76" s="3" t="s">
        <v>29</v>
      </c>
      <c r="E76" s="3" t="s">
        <v>52</v>
      </c>
      <c r="F76" s="3" t="s">
        <v>15</v>
      </c>
      <c r="G76" s="3">
        <v>8</v>
      </c>
      <c r="H76" s="3">
        <v>25997</v>
      </c>
      <c r="I76" s="3">
        <v>207976</v>
      </c>
      <c r="J76" s="3" t="s">
        <v>35</v>
      </c>
      <c r="K76" s="3" t="s">
        <v>89</v>
      </c>
    </row>
    <row r="77" spans="1:11" x14ac:dyDescent="0.3">
      <c r="A77" s="5" t="s">
        <v>199</v>
      </c>
      <c r="B77" s="6">
        <v>45817</v>
      </c>
      <c r="C77" s="5" t="s">
        <v>200</v>
      </c>
      <c r="D77" s="5" t="s">
        <v>55</v>
      </c>
      <c r="E77" s="5" t="s">
        <v>52</v>
      </c>
      <c r="F77" s="5" t="s">
        <v>15</v>
      </c>
      <c r="G77" s="5">
        <v>5</v>
      </c>
      <c r="H77" s="5">
        <v>23040</v>
      </c>
      <c r="I77" s="5">
        <v>115200</v>
      </c>
      <c r="J77" s="5" t="s">
        <v>16</v>
      </c>
      <c r="K77" s="5" t="s">
        <v>64</v>
      </c>
    </row>
    <row r="78" spans="1:11" x14ac:dyDescent="0.3">
      <c r="A78" s="3" t="s">
        <v>201</v>
      </c>
      <c r="B78" s="4">
        <v>45979</v>
      </c>
      <c r="C78" s="3" t="s">
        <v>202</v>
      </c>
      <c r="D78" s="3" t="s">
        <v>55</v>
      </c>
      <c r="E78" s="3" t="s">
        <v>98</v>
      </c>
      <c r="F78" s="3" t="s">
        <v>68</v>
      </c>
      <c r="G78" s="3">
        <v>4</v>
      </c>
      <c r="H78" s="3">
        <v>1647</v>
      </c>
      <c r="I78" s="3">
        <v>6588</v>
      </c>
      <c r="J78" s="3" t="s">
        <v>16</v>
      </c>
      <c r="K78" s="3" t="s">
        <v>17</v>
      </c>
    </row>
    <row r="79" spans="1:11" x14ac:dyDescent="0.3">
      <c r="A79" s="5" t="s">
        <v>203</v>
      </c>
      <c r="B79" s="6">
        <v>45947</v>
      </c>
      <c r="C79" s="5" t="s">
        <v>204</v>
      </c>
      <c r="D79" s="5" t="s">
        <v>13</v>
      </c>
      <c r="E79" s="5" t="s">
        <v>34</v>
      </c>
      <c r="F79" s="5" t="s">
        <v>31</v>
      </c>
      <c r="G79" s="5">
        <v>10</v>
      </c>
      <c r="H79" s="5">
        <v>3713</v>
      </c>
      <c r="I79" s="5">
        <v>37130</v>
      </c>
      <c r="J79" s="5" t="s">
        <v>35</v>
      </c>
      <c r="K79" s="5" t="s">
        <v>61</v>
      </c>
    </row>
    <row r="80" spans="1:11" x14ac:dyDescent="0.3">
      <c r="A80" s="3" t="s">
        <v>205</v>
      </c>
      <c r="B80" s="4">
        <v>45873</v>
      </c>
      <c r="C80" s="3" t="s">
        <v>206</v>
      </c>
      <c r="D80" s="3" t="s">
        <v>29</v>
      </c>
      <c r="E80" s="3" t="s">
        <v>30</v>
      </c>
      <c r="F80" s="3" t="s">
        <v>31</v>
      </c>
      <c r="G80" s="3">
        <v>9</v>
      </c>
      <c r="H80" s="3">
        <v>823</v>
      </c>
      <c r="I80" s="3">
        <v>7407</v>
      </c>
      <c r="J80" s="3" t="s">
        <v>16</v>
      </c>
      <c r="K80" s="3" t="s">
        <v>17</v>
      </c>
    </row>
    <row r="81" spans="1:11" x14ac:dyDescent="0.3">
      <c r="A81" s="5" t="s">
        <v>207</v>
      </c>
      <c r="B81" s="6">
        <v>45925</v>
      </c>
      <c r="C81" s="5" t="s">
        <v>208</v>
      </c>
      <c r="D81" s="5" t="s">
        <v>29</v>
      </c>
      <c r="E81" s="5" t="s">
        <v>34</v>
      </c>
      <c r="F81" s="5" t="s">
        <v>31</v>
      </c>
      <c r="G81" s="5">
        <v>8</v>
      </c>
      <c r="H81" s="5">
        <v>3645</v>
      </c>
      <c r="I81" s="5">
        <v>29160</v>
      </c>
      <c r="J81" s="5" t="s">
        <v>16</v>
      </c>
      <c r="K81" s="5" t="s">
        <v>56</v>
      </c>
    </row>
    <row r="82" spans="1:11" x14ac:dyDescent="0.3">
      <c r="A82" s="3" t="s">
        <v>209</v>
      </c>
      <c r="B82" s="4">
        <v>45795</v>
      </c>
      <c r="C82" s="3" t="s">
        <v>210</v>
      </c>
      <c r="D82" s="3" t="s">
        <v>13</v>
      </c>
      <c r="E82" s="3" t="s">
        <v>24</v>
      </c>
      <c r="F82" s="3" t="s">
        <v>25</v>
      </c>
      <c r="G82" s="3">
        <v>8</v>
      </c>
      <c r="H82" s="3">
        <v>1184</v>
      </c>
      <c r="I82" s="3">
        <v>9472</v>
      </c>
      <c r="J82" s="3" t="s">
        <v>16</v>
      </c>
      <c r="K82" s="3" t="s">
        <v>42</v>
      </c>
    </row>
    <row r="83" spans="1:11" x14ac:dyDescent="0.3">
      <c r="A83" s="5" t="s">
        <v>211</v>
      </c>
      <c r="B83" s="6">
        <v>45970</v>
      </c>
      <c r="C83" s="5" t="s">
        <v>143</v>
      </c>
      <c r="D83" s="5" t="s">
        <v>59</v>
      </c>
      <c r="E83" s="5" t="s">
        <v>14</v>
      </c>
      <c r="F83" s="5" t="s">
        <v>15</v>
      </c>
      <c r="G83" s="5">
        <v>8</v>
      </c>
      <c r="H83" s="5">
        <v>2846</v>
      </c>
      <c r="I83" s="5">
        <v>22768</v>
      </c>
      <c r="J83" s="5" t="s">
        <v>16</v>
      </c>
      <c r="K83" s="5" t="s">
        <v>99</v>
      </c>
    </row>
    <row r="84" spans="1:11" x14ac:dyDescent="0.3">
      <c r="A84" s="3" t="s">
        <v>212</v>
      </c>
      <c r="B84" s="4">
        <v>45790</v>
      </c>
      <c r="C84" s="3" t="s">
        <v>213</v>
      </c>
      <c r="D84" s="3" t="s">
        <v>59</v>
      </c>
      <c r="E84" s="3" t="s">
        <v>98</v>
      </c>
      <c r="F84" s="3" t="s">
        <v>68</v>
      </c>
      <c r="G84" s="3">
        <v>3</v>
      </c>
      <c r="H84" s="3">
        <v>1795</v>
      </c>
      <c r="I84" s="3">
        <v>5385</v>
      </c>
      <c r="J84" s="3" t="s">
        <v>16</v>
      </c>
      <c r="K84" s="3" t="s">
        <v>56</v>
      </c>
    </row>
    <row r="85" spans="1:11" x14ac:dyDescent="0.3">
      <c r="A85" s="5" t="s">
        <v>214</v>
      </c>
      <c r="B85" s="6">
        <v>45781</v>
      </c>
      <c r="C85" s="5" t="s">
        <v>215</v>
      </c>
      <c r="D85" s="5" t="s">
        <v>55</v>
      </c>
      <c r="E85" s="5" t="s">
        <v>34</v>
      </c>
      <c r="F85" s="5" t="s">
        <v>31</v>
      </c>
      <c r="G85" s="5">
        <v>1</v>
      </c>
      <c r="H85" s="5">
        <v>3511</v>
      </c>
      <c r="I85" s="5">
        <v>3511</v>
      </c>
      <c r="J85" s="5" t="s">
        <v>16</v>
      </c>
      <c r="K85" s="5" t="s">
        <v>95</v>
      </c>
    </row>
    <row r="86" spans="1:11" x14ac:dyDescent="0.3">
      <c r="A86" s="3" t="s">
        <v>216</v>
      </c>
      <c r="B86" s="4">
        <v>45666</v>
      </c>
      <c r="C86" s="3" t="s">
        <v>105</v>
      </c>
      <c r="D86" s="3" t="s">
        <v>13</v>
      </c>
      <c r="E86" s="3" t="s">
        <v>48</v>
      </c>
      <c r="F86" s="3" t="s">
        <v>49</v>
      </c>
      <c r="G86" s="3">
        <v>8</v>
      </c>
      <c r="H86" s="3">
        <v>9262</v>
      </c>
      <c r="I86" s="3">
        <v>74096</v>
      </c>
      <c r="J86" s="3" t="s">
        <v>16</v>
      </c>
      <c r="K86" s="3" t="s">
        <v>56</v>
      </c>
    </row>
    <row r="87" spans="1:11" x14ac:dyDescent="0.3">
      <c r="A87" s="5" t="s">
        <v>217</v>
      </c>
      <c r="B87" s="6">
        <v>45834</v>
      </c>
      <c r="C87" s="5" t="s">
        <v>218</v>
      </c>
      <c r="D87" s="5" t="s">
        <v>59</v>
      </c>
      <c r="E87" s="5" t="s">
        <v>113</v>
      </c>
      <c r="F87" s="5" t="s">
        <v>49</v>
      </c>
      <c r="G87" s="5">
        <v>10</v>
      </c>
      <c r="H87" s="5">
        <v>11685</v>
      </c>
      <c r="I87" s="5">
        <v>116850</v>
      </c>
      <c r="J87" s="5" t="s">
        <v>16</v>
      </c>
      <c r="K87" s="5" t="s">
        <v>26</v>
      </c>
    </row>
    <row r="88" spans="1:11" x14ac:dyDescent="0.3">
      <c r="A88" s="3" t="s">
        <v>219</v>
      </c>
      <c r="B88" s="4">
        <v>45719</v>
      </c>
      <c r="C88" s="3" t="s">
        <v>220</v>
      </c>
      <c r="D88" s="3" t="s">
        <v>13</v>
      </c>
      <c r="E88" s="3" t="s">
        <v>34</v>
      </c>
      <c r="F88" s="3" t="s">
        <v>31</v>
      </c>
      <c r="G88" s="3">
        <v>8</v>
      </c>
      <c r="H88" s="3">
        <v>3339</v>
      </c>
      <c r="I88" s="3">
        <v>26712</v>
      </c>
      <c r="J88" s="3" t="s">
        <v>16</v>
      </c>
      <c r="K88" s="3" t="s">
        <v>61</v>
      </c>
    </row>
    <row r="89" spans="1:11" x14ac:dyDescent="0.3">
      <c r="A89" s="5" t="s">
        <v>221</v>
      </c>
      <c r="B89" s="6">
        <v>45799</v>
      </c>
      <c r="C89" s="5" t="s">
        <v>222</v>
      </c>
      <c r="D89" s="5" t="s">
        <v>59</v>
      </c>
      <c r="E89" s="5" t="s">
        <v>60</v>
      </c>
      <c r="F89" s="5" t="s">
        <v>25</v>
      </c>
      <c r="G89" s="5">
        <v>3</v>
      </c>
      <c r="H89" s="5">
        <v>1407</v>
      </c>
      <c r="I89" s="5">
        <v>4221</v>
      </c>
      <c r="J89" s="5" t="s">
        <v>16</v>
      </c>
      <c r="K89" s="5" t="s">
        <v>84</v>
      </c>
    </row>
    <row r="90" spans="1:11" x14ac:dyDescent="0.3">
      <c r="A90" s="3" t="s">
        <v>223</v>
      </c>
      <c r="B90" s="4">
        <v>45812</v>
      </c>
      <c r="C90" s="3" t="s">
        <v>224</v>
      </c>
      <c r="D90" s="3" t="s">
        <v>29</v>
      </c>
      <c r="E90" s="3" t="s">
        <v>30</v>
      </c>
      <c r="F90" s="3" t="s">
        <v>31</v>
      </c>
      <c r="G90" s="3">
        <v>4</v>
      </c>
      <c r="H90" s="3">
        <v>767</v>
      </c>
      <c r="I90" s="3">
        <v>3068</v>
      </c>
      <c r="J90" s="3" t="s">
        <v>16</v>
      </c>
      <c r="K90" s="3" t="s">
        <v>26</v>
      </c>
    </row>
    <row r="91" spans="1:11" x14ac:dyDescent="0.3">
      <c r="A91" s="5" t="s">
        <v>225</v>
      </c>
      <c r="B91" s="6">
        <v>45722</v>
      </c>
      <c r="C91" s="5" t="s">
        <v>226</v>
      </c>
      <c r="D91" s="5" t="s">
        <v>29</v>
      </c>
      <c r="E91" s="5" t="s">
        <v>30</v>
      </c>
      <c r="F91" s="5" t="s">
        <v>31</v>
      </c>
      <c r="G91" s="5">
        <v>1</v>
      </c>
      <c r="H91" s="5">
        <v>808</v>
      </c>
      <c r="I91" s="5">
        <v>808</v>
      </c>
      <c r="J91" s="5" t="s">
        <v>16</v>
      </c>
      <c r="K91" s="5" t="s">
        <v>42</v>
      </c>
    </row>
    <row r="92" spans="1:11" x14ac:dyDescent="0.3">
      <c r="A92" s="3" t="s">
        <v>227</v>
      </c>
      <c r="B92" s="4">
        <v>45832</v>
      </c>
      <c r="C92" s="3" t="s">
        <v>228</v>
      </c>
      <c r="D92" s="3" t="s">
        <v>55</v>
      </c>
      <c r="E92" s="3" t="s">
        <v>20</v>
      </c>
      <c r="F92" s="3" t="s">
        <v>15</v>
      </c>
      <c r="G92" s="3">
        <v>10</v>
      </c>
      <c r="H92" s="3">
        <v>52627</v>
      </c>
      <c r="I92" s="3">
        <v>526270</v>
      </c>
      <c r="J92" s="3" t="s">
        <v>16</v>
      </c>
      <c r="K92" s="3" t="s">
        <v>39</v>
      </c>
    </row>
    <row r="93" spans="1:11" x14ac:dyDescent="0.3">
      <c r="A93" s="5" t="s">
        <v>229</v>
      </c>
      <c r="B93" s="6">
        <v>45980</v>
      </c>
      <c r="C93" s="5" t="s">
        <v>230</v>
      </c>
      <c r="D93" s="5" t="s">
        <v>59</v>
      </c>
      <c r="E93" s="5" t="s">
        <v>73</v>
      </c>
      <c r="F93" s="5" t="s">
        <v>68</v>
      </c>
      <c r="G93" s="5">
        <v>2</v>
      </c>
      <c r="H93" s="5">
        <v>1176</v>
      </c>
      <c r="I93" s="5">
        <v>2352</v>
      </c>
      <c r="J93" s="5" t="s">
        <v>16</v>
      </c>
      <c r="K93" s="5" t="s">
        <v>81</v>
      </c>
    </row>
    <row r="94" spans="1:11" x14ac:dyDescent="0.3">
      <c r="A94" s="3" t="s">
        <v>231</v>
      </c>
      <c r="B94" s="4">
        <v>45871</v>
      </c>
      <c r="C94" s="3" t="s">
        <v>198</v>
      </c>
      <c r="D94" s="3" t="s">
        <v>59</v>
      </c>
      <c r="E94" s="3" t="s">
        <v>24</v>
      </c>
      <c r="F94" s="3" t="s">
        <v>25</v>
      </c>
      <c r="G94" s="3">
        <v>2</v>
      </c>
      <c r="H94" s="3">
        <v>1318</v>
      </c>
      <c r="I94" s="3">
        <v>2636</v>
      </c>
      <c r="J94" s="3" t="s">
        <v>16</v>
      </c>
      <c r="K94" s="3" t="s">
        <v>89</v>
      </c>
    </row>
    <row r="95" spans="1:11" x14ac:dyDescent="0.3">
      <c r="A95" s="5" t="s">
        <v>232</v>
      </c>
      <c r="B95" s="6">
        <v>45959</v>
      </c>
      <c r="C95" s="5" t="s">
        <v>233</v>
      </c>
      <c r="D95" s="5" t="s">
        <v>55</v>
      </c>
      <c r="E95" s="5" t="s">
        <v>48</v>
      </c>
      <c r="F95" s="5" t="s">
        <v>49</v>
      </c>
      <c r="G95" s="5">
        <v>7</v>
      </c>
      <c r="H95" s="5">
        <v>8910</v>
      </c>
      <c r="I95" s="5">
        <v>62370</v>
      </c>
      <c r="J95" s="5" t="s">
        <v>16</v>
      </c>
      <c r="K95" s="5" t="s">
        <v>56</v>
      </c>
    </row>
    <row r="96" spans="1:11" x14ac:dyDescent="0.3">
      <c r="A96" s="3" t="s">
        <v>234</v>
      </c>
      <c r="B96" s="4">
        <v>45699</v>
      </c>
      <c r="C96" s="3" t="s">
        <v>235</v>
      </c>
      <c r="D96" s="3" t="s">
        <v>13</v>
      </c>
      <c r="E96" s="3" t="s">
        <v>20</v>
      </c>
      <c r="F96" s="3" t="s">
        <v>15</v>
      </c>
      <c r="G96" s="3">
        <v>4</v>
      </c>
      <c r="H96" s="3">
        <v>56380</v>
      </c>
      <c r="I96" s="3">
        <v>225520</v>
      </c>
      <c r="J96" s="3" t="s">
        <v>16</v>
      </c>
      <c r="K96" s="3" t="s">
        <v>21</v>
      </c>
    </row>
    <row r="97" spans="1:11" x14ac:dyDescent="0.3">
      <c r="A97" s="5" t="s">
        <v>236</v>
      </c>
      <c r="B97" s="6">
        <v>45898</v>
      </c>
      <c r="C97" s="5" t="s">
        <v>237</v>
      </c>
      <c r="D97" s="5" t="s">
        <v>59</v>
      </c>
      <c r="E97" s="5" t="s">
        <v>52</v>
      </c>
      <c r="F97" s="5" t="s">
        <v>15</v>
      </c>
      <c r="G97" s="5">
        <v>1</v>
      </c>
      <c r="H97" s="5">
        <v>24542</v>
      </c>
      <c r="I97" s="5">
        <v>24542</v>
      </c>
      <c r="J97" s="5" t="s">
        <v>16</v>
      </c>
      <c r="K97" s="5" t="s">
        <v>39</v>
      </c>
    </row>
    <row r="98" spans="1:11" x14ac:dyDescent="0.3">
      <c r="A98" s="3" t="s">
        <v>238</v>
      </c>
      <c r="B98" s="4">
        <v>45793</v>
      </c>
      <c r="C98" s="3" t="s">
        <v>239</v>
      </c>
      <c r="D98" s="3" t="s">
        <v>59</v>
      </c>
      <c r="E98" s="3" t="s">
        <v>34</v>
      </c>
      <c r="F98" s="3" t="s">
        <v>31</v>
      </c>
      <c r="G98" s="3">
        <v>8</v>
      </c>
      <c r="H98" s="3">
        <v>3199</v>
      </c>
      <c r="I98" s="3">
        <v>25592</v>
      </c>
      <c r="J98" s="3" t="s">
        <v>16</v>
      </c>
      <c r="K98" s="3" t="s">
        <v>89</v>
      </c>
    </row>
    <row r="99" spans="1:11" x14ac:dyDescent="0.3">
      <c r="A99" s="5" t="s">
        <v>240</v>
      </c>
      <c r="B99" s="6">
        <v>45794</v>
      </c>
      <c r="C99" s="5" t="s">
        <v>241</v>
      </c>
      <c r="D99" s="5" t="s">
        <v>13</v>
      </c>
      <c r="E99" s="5" t="s">
        <v>113</v>
      </c>
      <c r="F99" s="5" t="s">
        <v>49</v>
      </c>
      <c r="G99" s="5">
        <v>2</v>
      </c>
      <c r="H99" s="5">
        <v>12106</v>
      </c>
      <c r="I99" s="5">
        <v>24212</v>
      </c>
      <c r="J99" s="5" t="s">
        <v>16</v>
      </c>
      <c r="K99" s="5" t="s">
        <v>17</v>
      </c>
    </row>
    <row r="100" spans="1:11" x14ac:dyDescent="0.3">
      <c r="A100" s="3" t="s">
        <v>242</v>
      </c>
      <c r="B100" s="4">
        <v>45897</v>
      </c>
      <c r="C100" s="3" t="s">
        <v>243</v>
      </c>
      <c r="D100" s="3" t="s">
        <v>59</v>
      </c>
      <c r="E100" s="3" t="s">
        <v>34</v>
      </c>
      <c r="F100" s="3" t="s">
        <v>31</v>
      </c>
      <c r="G100" s="3">
        <v>10</v>
      </c>
      <c r="H100" s="3">
        <v>3794</v>
      </c>
      <c r="I100" s="3">
        <v>37940</v>
      </c>
      <c r="J100" s="3" t="s">
        <v>16</v>
      </c>
      <c r="K100" s="3" t="s">
        <v>26</v>
      </c>
    </row>
    <row r="101" spans="1:11" x14ac:dyDescent="0.3">
      <c r="A101" s="5" t="s">
        <v>244</v>
      </c>
      <c r="B101" s="6">
        <v>45678</v>
      </c>
      <c r="C101" s="5" t="s">
        <v>245</v>
      </c>
      <c r="D101" s="5" t="s">
        <v>29</v>
      </c>
      <c r="E101" s="5" t="s">
        <v>34</v>
      </c>
      <c r="F101" s="5" t="s">
        <v>31</v>
      </c>
      <c r="G101" s="5">
        <v>9</v>
      </c>
      <c r="H101" s="5">
        <v>3495</v>
      </c>
      <c r="I101" s="5">
        <v>31455</v>
      </c>
      <c r="J101" s="5" t="s">
        <v>16</v>
      </c>
      <c r="K101" s="5" t="s">
        <v>26</v>
      </c>
    </row>
    <row r="102" spans="1:11" x14ac:dyDescent="0.3">
      <c r="A102" s="3" t="s">
        <v>246</v>
      </c>
      <c r="B102" s="4">
        <v>45952</v>
      </c>
      <c r="C102" s="3" t="s">
        <v>247</v>
      </c>
      <c r="D102" s="3" t="s">
        <v>59</v>
      </c>
      <c r="E102" s="3" t="s">
        <v>30</v>
      </c>
      <c r="F102" s="3" t="s">
        <v>31</v>
      </c>
      <c r="G102" s="3">
        <v>2</v>
      </c>
      <c r="H102" s="3">
        <v>756</v>
      </c>
      <c r="I102" s="3">
        <v>1512</v>
      </c>
      <c r="J102" s="3" t="s">
        <v>16</v>
      </c>
      <c r="K102" s="3" t="s">
        <v>39</v>
      </c>
    </row>
    <row r="103" spans="1:11" x14ac:dyDescent="0.3">
      <c r="A103" s="5" t="s">
        <v>248</v>
      </c>
      <c r="B103" s="6">
        <v>45923</v>
      </c>
      <c r="C103" s="5" t="s">
        <v>208</v>
      </c>
      <c r="D103" s="5" t="s">
        <v>55</v>
      </c>
      <c r="E103" s="5" t="s">
        <v>34</v>
      </c>
      <c r="F103" s="5" t="s">
        <v>31</v>
      </c>
      <c r="G103" s="5">
        <v>1</v>
      </c>
      <c r="H103" s="5">
        <v>3684</v>
      </c>
      <c r="I103" s="5">
        <v>3684</v>
      </c>
      <c r="J103" s="5" t="s">
        <v>16</v>
      </c>
      <c r="K103" s="5" t="s">
        <v>95</v>
      </c>
    </row>
    <row r="104" spans="1:11" x14ac:dyDescent="0.3">
      <c r="A104" s="3" t="s">
        <v>249</v>
      </c>
      <c r="B104" s="4">
        <v>45704</v>
      </c>
      <c r="C104" s="3" t="s">
        <v>145</v>
      </c>
      <c r="D104" s="3" t="s">
        <v>55</v>
      </c>
      <c r="E104" s="3" t="s">
        <v>48</v>
      </c>
      <c r="F104" s="3" t="s">
        <v>49</v>
      </c>
      <c r="G104" s="3">
        <v>7</v>
      </c>
      <c r="H104" s="3">
        <v>9242</v>
      </c>
      <c r="I104" s="3">
        <v>64694</v>
      </c>
      <c r="J104" s="3" t="s">
        <v>16</v>
      </c>
      <c r="K104" s="3" t="s">
        <v>61</v>
      </c>
    </row>
    <row r="105" spans="1:11" x14ac:dyDescent="0.3">
      <c r="A105" s="5" t="s">
        <v>250</v>
      </c>
      <c r="B105" s="6">
        <v>46013</v>
      </c>
      <c r="C105" s="5" t="s">
        <v>251</v>
      </c>
      <c r="D105" s="5" t="s">
        <v>29</v>
      </c>
      <c r="E105" s="5" t="s">
        <v>34</v>
      </c>
      <c r="F105" s="5" t="s">
        <v>31</v>
      </c>
      <c r="G105" s="5">
        <v>2</v>
      </c>
      <c r="H105" s="5">
        <v>3750</v>
      </c>
      <c r="I105" s="5">
        <v>7500</v>
      </c>
      <c r="J105" s="5" t="s">
        <v>16</v>
      </c>
      <c r="K105" s="5" t="s">
        <v>56</v>
      </c>
    </row>
    <row r="106" spans="1:11" x14ac:dyDescent="0.3">
      <c r="A106" s="3" t="s">
        <v>252</v>
      </c>
      <c r="B106" s="4">
        <v>45823</v>
      </c>
      <c r="C106" s="3" t="s">
        <v>253</v>
      </c>
      <c r="D106" s="3" t="s">
        <v>13</v>
      </c>
      <c r="E106" s="3" t="s">
        <v>67</v>
      </c>
      <c r="F106" s="3" t="s">
        <v>68</v>
      </c>
      <c r="G106" s="3">
        <v>1</v>
      </c>
      <c r="H106" s="3">
        <v>495</v>
      </c>
      <c r="I106" s="3">
        <v>495</v>
      </c>
      <c r="J106" s="3" t="s">
        <v>16</v>
      </c>
      <c r="K106" s="3" t="s">
        <v>84</v>
      </c>
    </row>
    <row r="107" spans="1:11" x14ac:dyDescent="0.3">
      <c r="A107" s="5" t="s">
        <v>254</v>
      </c>
      <c r="B107" s="6">
        <v>45923</v>
      </c>
      <c r="C107" s="5" t="s">
        <v>255</v>
      </c>
      <c r="D107" s="5" t="s">
        <v>29</v>
      </c>
      <c r="E107" s="5" t="s">
        <v>80</v>
      </c>
      <c r="F107" s="5" t="s">
        <v>25</v>
      </c>
      <c r="G107" s="5">
        <v>9</v>
      </c>
      <c r="H107" s="5">
        <v>2480</v>
      </c>
      <c r="I107" s="5">
        <v>22320</v>
      </c>
      <c r="J107" s="5" t="s">
        <v>16</v>
      </c>
      <c r="K107" s="5" t="s">
        <v>89</v>
      </c>
    </row>
    <row r="108" spans="1:11" x14ac:dyDescent="0.3">
      <c r="A108" s="3" t="s">
        <v>256</v>
      </c>
      <c r="B108" s="4">
        <v>45805</v>
      </c>
      <c r="C108" s="3" t="s">
        <v>86</v>
      </c>
      <c r="D108" s="3" t="s">
        <v>55</v>
      </c>
      <c r="E108" s="3" t="s">
        <v>73</v>
      </c>
      <c r="F108" s="3" t="s">
        <v>68</v>
      </c>
      <c r="G108" s="3">
        <v>4</v>
      </c>
      <c r="H108" s="3">
        <v>1144</v>
      </c>
      <c r="I108" s="3">
        <v>4576</v>
      </c>
      <c r="J108" s="3" t="s">
        <v>16</v>
      </c>
      <c r="K108" s="3" t="s">
        <v>36</v>
      </c>
    </row>
    <row r="109" spans="1:11" x14ac:dyDescent="0.3">
      <c r="A109" s="5" t="s">
        <v>257</v>
      </c>
      <c r="B109" s="6">
        <v>45817</v>
      </c>
      <c r="C109" s="5" t="s">
        <v>258</v>
      </c>
      <c r="D109" s="5" t="s">
        <v>13</v>
      </c>
      <c r="E109" s="5" t="s">
        <v>20</v>
      </c>
      <c r="F109" s="5" t="s">
        <v>15</v>
      </c>
      <c r="G109" s="5">
        <v>10</v>
      </c>
      <c r="H109" s="5">
        <v>58292</v>
      </c>
      <c r="I109" s="5">
        <v>582920</v>
      </c>
      <c r="J109" s="5" t="s">
        <v>16</v>
      </c>
      <c r="K109" s="5" t="s">
        <v>39</v>
      </c>
    </row>
    <row r="110" spans="1:11" x14ac:dyDescent="0.3">
      <c r="A110" s="3" t="s">
        <v>259</v>
      </c>
      <c r="B110" s="4">
        <v>45736</v>
      </c>
      <c r="C110" s="3" t="s">
        <v>260</v>
      </c>
      <c r="D110" s="3" t="s">
        <v>13</v>
      </c>
      <c r="E110" s="3" t="s">
        <v>52</v>
      </c>
      <c r="F110" s="3" t="s">
        <v>15</v>
      </c>
      <c r="G110" s="3">
        <v>2</v>
      </c>
      <c r="H110" s="3">
        <v>24807</v>
      </c>
      <c r="I110" s="3">
        <v>49614</v>
      </c>
      <c r="J110" s="3" t="s">
        <v>16</v>
      </c>
      <c r="K110" s="3" t="s">
        <v>36</v>
      </c>
    </row>
    <row r="111" spans="1:11" x14ac:dyDescent="0.3">
      <c r="A111" s="5" t="s">
        <v>261</v>
      </c>
      <c r="B111" s="6">
        <v>45899</v>
      </c>
      <c r="C111" s="5" t="s">
        <v>202</v>
      </c>
      <c r="D111" s="5" t="s">
        <v>13</v>
      </c>
      <c r="E111" s="5" t="s">
        <v>60</v>
      </c>
      <c r="F111" s="5" t="s">
        <v>25</v>
      </c>
      <c r="G111" s="5">
        <v>5</v>
      </c>
      <c r="H111" s="5">
        <v>1474</v>
      </c>
      <c r="I111" s="5">
        <v>7370</v>
      </c>
      <c r="J111" s="5" t="s">
        <v>16</v>
      </c>
      <c r="K111" s="5" t="s">
        <v>95</v>
      </c>
    </row>
    <row r="112" spans="1:11" x14ac:dyDescent="0.3">
      <c r="A112" s="3" t="s">
        <v>262</v>
      </c>
      <c r="B112" s="4">
        <v>45693</v>
      </c>
      <c r="C112" s="3" t="s">
        <v>263</v>
      </c>
      <c r="D112" s="3" t="s">
        <v>13</v>
      </c>
      <c r="E112" s="3" t="s">
        <v>73</v>
      </c>
      <c r="F112" s="3" t="s">
        <v>68</v>
      </c>
      <c r="G112" s="3">
        <v>10</v>
      </c>
      <c r="H112" s="3">
        <v>1201</v>
      </c>
      <c r="I112" s="3">
        <v>12010</v>
      </c>
      <c r="J112" s="3" t="s">
        <v>128</v>
      </c>
      <c r="K112" s="3" t="s">
        <v>84</v>
      </c>
    </row>
    <row r="113" spans="1:11" x14ac:dyDescent="0.3">
      <c r="A113" s="5" t="s">
        <v>264</v>
      </c>
      <c r="B113" s="6">
        <v>45810</v>
      </c>
      <c r="C113" s="5" t="s">
        <v>247</v>
      </c>
      <c r="D113" s="5" t="s">
        <v>55</v>
      </c>
      <c r="E113" s="5" t="s">
        <v>98</v>
      </c>
      <c r="F113" s="5" t="s">
        <v>68</v>
      </c>
      <c r="G113" s="5">
        <v>9</v>
      </c>
      <c r="H113" s="5">
        <v>1716</v>
      </c>
      <c r="I113" s="5">
        <v>15444</v>
      </c>
      <c r="J113" s="5" t="s">
        <v>16</v>
      </c>
      <c r="K113" s="5" t="s">
        <v>89</v>
      </c>
    </row>
    <row r="114" spans="1:11" x14ac:dyDescent="0.3">
      <c r="A114" s="3" t="s">
        <v>265</v>
      </c>
      <c r="B114" s="4">
        <v>45940</v>
      </c>
      <c r="C114" s="3" t="s">
        <v>266</v>
      </c>
      <c r="D114" s="3" t="s">
        <v>55</v>
      </c>
      <c r="E114" s="3" t="s">
        <v>73</v>
      </c>
      <c r="F114" s="3" t="s">
        <v>68</v>
      </c>
      <c r="G114" s="3">
        <v>8</v>
      </c>
      <c r="H114" s="3">
        <v>1209</v>
      </c>
      <c r="I114" s="3">
        <v>9672</v>
      </c>
      <c r="J114" s="3" t="s">
        <v>16</v>
      </c>
      <c r="K114" s="3" t="s">
        <v>99</v>
      </c>
    </row>
    <row r="115" spans="1:11" x14ac:dyDescent="0.3">
      <c r="A115" s="5" t="s">
        <v>267</v>
      </c>
      <c r="B115" s="6">
        <v>45868</v>
      </c>
      <c r="C115" s="5" t="s">
        <v>133</v>
      </c>
      <c r="D115" s="5" t="s">
        <v>29</v>
      </c>
      <c r="E115" s="5" t="s">
        <v>30</v>
      </c>
      <c r="F115" s="5" t="s">
        <v>31</v>
      </c>
      <c r="G115" s="5">
        <v>4</v>
      </c>
      <c r="H115" s="5">
        <v>811</v>
      </c>
      <c r="I115" s="5">
        <v>3244</v>
      </c>
      <c r="J115" s="5" t="s">
        <v>16</v>
      </c>
      <c r="K115" s="5" t="s">
        <v>61</v>
      </c>
    </row>
    <row r="116" spans="1:11" x14ac:dyDescent="0.3">
      <c r="A116" s="3" t="s">
        <v>268</v>
      </c>
      <c r="B116" s="4">
        <v>45915</v>
      </c>
      <c r="C116" s="3" t="s">
        <v>269</v>
      </c>
      <c r="D116" s="3" t="s">
        <v>13</v>
      </c>
      <c r="E116" s="3" t="s">
        <v>98</v>
      </c>
      <c r="F116" s="3" t="s">
        <v>68</v>
      </c>
      <c r="G116" s="3">
        <v>3</v>
      </c>
      <c r="H116" s="3">
        <v>1798</v>
      </c>
      <c r="I116" s="3">
        <v>5394</v>
      </c>
      <c r="J116" s="3" t="s">
        <v>16</v>
      </c>
      <c r="K116" s="3" t="s">
        <v>61</v>
      </c>
    </row>
    <row r="117" spans="1:11" x14ac:dyDescent="0.3">
      <c r="A117" s="5" t="s">
        <v>270</v>
      </c>
      <c r="B117" s="6">
        <v>45731</v>
      </c>
      <c r="C117" s="5" t="s">
        <v>271</v>
      </c>
      <c r="D117" s="5" t="s">
        <v>55</v>
      </c>
      <c r="E117" s="5" t="s">
        <v>73</v>
      </c>
      <c r="F117" s="5" t="s">
        <v>68</v>
      </c>
      <c r="G117" s="5">
        <v>9</v>
      </c>
      <c r="H117" s="5">
        <v>1298</v>
      </c>
      <c r="I117" s="5">
        <v>11682</v>
      </c>
      <c r="J117" s="5" t="s">
        <v>16</v>
      </c>
      <c r="K117" s="5" t="s">
        <v>42</v>
      </c>
    </row>
    <row r="118" spans="1:11" x14ac:dyDescent="0.3">
      <c r="A118" s="3" t="s">
        <v>272</v>
      </c>
      <c r="B118" s="4">
        <v>45977</v>
      </c>
      <c r="C118" s="3" t="s">
        <v>273</v>
      </c>
      <c r="D118" s="3" t="s">
        <v>13</v>
      </c>
      <c r="E118" s="3" t="s">
        <v>108</v>
      </c>
      <c r="F118" s="3" t="s">
        <v>49</v>
      </c>
      <c r="G118" s="3">
        <v>8</v>
      </c>
      <c r="H118" s="3">
        <v>7394</v>
      </c>
      <c r="I118" s="3">
        <v>59152</v>
      </c>
      <c r="J118" s="3" t="s">
        <v>16</v>
      </c>
      <c r="K118" s="3" t="s">
        <v>64</v>
      </c>
    </row>
    <row r="119" spans="1:11" x14ac:dyDescent="0.3">
      <c r="A119" s="5" t="s">
        <v>274</v>
      </c>
      <c r="B119" s="6">
        <v>45907</v>
      </c>
      <c r="C119" s="5" t="s">
        <v>275</v>
      </c>
      <c r="D119" s="5" t="s">
        <v>59</v>
      </c>
      <c r="E119" s="5" t="s">
        <v>34</v>
      </c>
      <c r="F119" s="5" t="s">
        <v>31</v>
      </c>
      <c r="G119" s="5">
        <v>9</v>
      </c>
      <c r="H119" s="5">
        <v>3416</v>
      </c>
      <c r="I119" s="5">
        <v>30744</v>
      </c>
      <c r="J119" s="5" t="s">
        <v>16</v>
      </c>
      <c r="K119" s="5" t="s">
        <v>39</v>
      </c>
    </row>
    <row r="120" spans="1:11" x14ac:dyDescent="0.3">
      <c r="A120" s="3" t="s">
        <v>276</v>
      </c>
      <c r="B120" s="4">
        <v>45880</v>
      </c>
      <c r="C120" s="3" t="s">
        <v>277</v>
      </c>
      <c r="D120" s="3" t="s">
        <v>13</v>
      </c>
      <c r="E120" s="3" t="s">
        <v>48</v>
      </c>
      <c r="F120" s="3" t="s">
        <v>49</v>
      </c>
      <c r="G120" s="3">
        <v>5</v>
      </c>
      <c r="H120" s="3">
        <v>9895</v>
      </c>
      <c r="I120" s="3">
        <v>49475</v>
      </c>
      <c r="J120" s="3" t="s">
        <v>16</v>
      </c>
      <c r="K120" s="3" t="s">
        <v>84</v>
      </c>
    </row>
    <row r="121" spans="1:11" x14ac:dyDescent="0.3">
      <c r="A121" s="5" t="s">
        <v>278</v>
      </c>
      <c r="B121" s="6">
        <v>45681</v>
      </c>
      <c r="C121" s="5" t="s">
        <v>279</v>
      </c>
      <c r="D121" s="5" t="s">
        <v>13</v>
      </c>
      <c r="E121" s="5" t="s">
        <v>116</v>
      </c>
      <c r="F121" s="5" t="s">
        <v>15</v>
      </c>
      <c r="G121" s="5">
        <v>3</v>
      </c>
      <c r="H121" s="5">
        <v>8310</v>
      </c>
      <c r="I121" s="5">
        <v>24930</v>
      </c>
      <c r="J121" s="5" t="s">
        <v>128</v>
      </c>
      <c r="K121" s="5" t="s">
        <v>84</v>
      </c>
    </row>
    <row r="122" spans="1:11" x14ac:dyDescent="0.3">
      <c r="A122" s="3" t="s">
        <v>280</v>
      </c>
      <c r="B122" s="4">
        <v>45947</v>
      </c>
      <c r="C122" s="3" t="s">
        <v>281</v>
      </c>
      <c r="D122" s="3" t="s">
        <v>59</v>
      </c>
      <c r="E122" s="3" t="s">
        <v>45</v>
      </c>
      <c r="F122" s="3" t="s">
        <v>31</v>
      </c>
      <c r="G122" s="3">
        <v>7</v>
      </c>
      <c r="H122" s="3">
        <v>1672</v>
      </c>
      <c r="I122" s="3">
        <v>11704</v>
      </c>
      <c r="J122" s="3" t="s">
        <v>16</v>
      </c>
      <c r="K122" s="3" t="s">
        <v>84</v>
      </c>
    </row>
    <row r="123" spans="1:11" x14ac:dyDescent="0.3">
      <c r="A123" s="5" t="s">
        <v>282</v>
      </c>
      <c r="B123" s="6">
        <v>45781</v>
      </c>
      <c r="C123" s="5" t="s">
        <v>283</v>
      </c>
      <c r="D123" s="5" t="s">
        <v>59</v>
      </c>
      <c r="E123" s="5" t="s">
        <v>108</v>
      </c>
      <c r="F123" s="5" t="s">
        <v>49</v>
      </c>
      <c r="G123" s="5">
        <v>10</v>
      </c>
      <c r="H123" s="5">
        <v>7519</v>
      </c>
      <c r="I123" s="5">
        <v>75190</v>
      </c>
      <c r="J123" s="5" t="s">
        <v>16</v>
      </c>
      <c r="K123" s="5" t="s">
        <v>36</v>
      </c>
    </row>
    <row r="124" spans="1:11" x14ac:dyDescent="0.3">
      <c r="A124" s="3" t="s">
        <v>284</v>
      </c>
      <c r="B124" s="4">
        <v>45896</v>
      </c>
      <c r="C124" s="3" t="s">
        <v>285</v>
      </c>
      <c r="D124" s="3" t="s">
        <v>13</v>
      </c>
      <c r="E124" s="3" t="s">
        <v>113</v>
      </c>
      <c r="F124" s="3" t="s">
        <v>49</v>
      </c>
      <c r="G124" s="3">
        <v>5</v>
      </c>
      <c r="H124" s="3">
        <v>11902</v>
      </c>
      <c r="I124" s="3">
        <v>59510</v>
      </c>
      <c r="J124" s="3" t="s">
        <v>16</v>
      </c>
      <c r="K124" s="3" t="s">
        <v>64</v>
      </c>
    </row>
    <row r="125" spans="1:11" x14ac:dyDescent="0.3">
      <c r="A125" s="5" t="s">
        <v>286</v>
      </c>
      <c r="B125" s="6">
        <v>45875</v>
      </c>
      <c r="C125" s="5" t="s">
        <v>287</v>
      </c>
      <c r="D125" s="5" t="s">
        <v>29</v>
      </c>
      <c r="E125" s="5" t="s">
        <v>116</v>
      </c>
      <c r="F125" s="5" t="s">
        <v>15</v>
      </c>
      <c r="G125" s="5">
        <v>6</v>
      </c>
      <c r="H125" s="5">
        <v>8780</v>
      </c>
      <c r="I125" s="5">
        <v>52680</v>
      </c>
      <c r="J125" s="5" t="s">
        <v>16</v>
      </c>
      <c r="K125" s="5" t="s">
        <v>95</v>
      </c>
    </row>
    <row r="126" spans="1:11" x14ac:dyDescent="0.3">
      <c r="A126" s="3" t="s">
        <v>288</v>
      </c>
      <c r="B126" s="4">
        <v>45841</v>
      </c>
      <c r="C126" s="3" t="s">
        <v>200</v>
      </c>
      <c r="D126" s="3" t="s">
        <v>55</v>
      </c>
      <c r="E126" s="3" t="s">
        <v>113</v>
      </c>
      <c r="F126" s="3" t="s">
        <v>49</v>
      </c>
      <c r="G126" s="3">
        <v>8</v>
      </c>
      <c r="H126" s="3">
        <v>11055</v>
      </c>
      <c r="I126" s="3">
        <v>88440</v>
      </c>
      <c r="J126" s="3" t="s">
        <v>16</v>
      </c>
      <c r="K126" s="3" t="s">
        <v>56</v>
      </c>
    </row>
    <row r="127" spans="1:11" x14ac:dyDescent="0.3">
      <c r="A127" s="5" t="s">
        <v>289</v>
      </c>
      <c r="B127" s="6">
        <v>46009</v>
      </c>
      <c r="C127" s="5" t="s">
        <v>290</v>
      </c>
      <c r="D127" s="5" t="s">
        <v>55</v>
      </c>
      <c r="E127" s="5" t="s">
        <v>30</v>
      </c>
      <c r="F127" s="5" t="s">
        <v>31</v>
      </c>
      <c r="G127" s="5">
        <v>7</v>
      </c>
      <c r="H127" s="5">
        <v>763</v>
      </c>
      <c r="I127" s="5">
        <v>5341</v>
      </c>
      <c r="J127" s="5" t="s">
        <v>16</v>
      </c>
      <c r="K127" s="5" t="s">
        <v>36</v>
      </c>
    </row>
    <row r="128" spans="1:11" x14ac:dyDescent="0.3">
      <c r="A128" s="3" t="s">
        <v>291</v>
      </c>
      <c r="B128" s="4">
        <v>45983</v>
      </c>
      <c r="C128" s="3" t="s">
        <v>292</v>
      </c>
      <c r="D128" s="3" t="s">
        <v>13</v>
      </c>
      <c r="E128" s="3" t="s">
        <v>98</v>
      </c>
      <c r="F128" s="3" t="s">
        <v>68</v>
      </c>
      <c r="G128" s="3">
        <v>4</v>
      </c>
      <c r="H128" s="3">
        <v>1838</v>
      </c>
      <c r="I128" s="3">
        <v>7352</v>
      </c>
      <c r="J128" s="3" t="s">
        <v>16</v>
      </c>
      <c r="K128" s="3" t="s">
        <v>89</v>
      </c>
    </row>
    <row r="129" spans="1:11" x14ac:dyDescent="0.3">
      <c r="A129" s="5" t="s">
        <v>293</v>
      </c>
      <c r="B129" s="6">
        <v>45816</v>
      </c>
      <c r="C129" s="5" t="s">
        <v>294</v>
      </c>
      <c r="D129" s="5" t="s">
        <v>59</v>
      </c>
      <c r="E129" s="5" t="s">
        <v>48</v>
      </c>
      <c r="F129" s="5" t="s">
        <v>49</v>
      </c>
      <c r="G129" s="5">
        <v>2</v>
      </c>
      <c r="H129" s="5">
        <v>9726</v>
      </c>
      <c r="I129" s="5">
        <v>19452</v>
      </c>
      <c r="J129" s="5" t="s">
        <v>16</v>
      </c>
      <c r="K129" s="5" t="s">
        <v>39</v>
      </c>
    </row>
    <row r="130" spans="1:11" x14ac:dyDescent="0.3">
      <c r="A130" s="3" t="s">
        <v>295</v>
      </c>
      <c r="B130" s="4">
        <v>45760</v>
      </c>
      <c r="C130" s="3" t="s">
        <v>296</v>
      </c>
      <c r="D130" s="3" t="s">
        <v>13</v>
      </c>
      <c r="E130" s="3" t="s">
        <v>108</v>
      </c>
      <c r="F130" s="3" t="s">
        <v>49</v>
      </c>
      <c r="G130" s="3">
        <v>5</v>
      </c>
      <c r="H130" s="3">
        <v>6757</v>
      </c>
      <c r="I130" s="3">
        <v>33785</v>
      </c>
      <c r="J130" s="3" t="s">
        <v>16</v>
      </c>
      <c r="K130" s="3" t="s">
        <v>84</v>
      </c>
    </row>
    <row r="131" spans="1:11" x14ac:dyDescent="0.3">
      <c r="A131" s="5" t="s">
        <v>297</v>
      </c>
      <c r="B131" s="6">
        <v>45789</v>
      </c>
      <c r="C131" s="5" t="s">
        <v>298</v>
      </c>
      <c r="D131" s="5" t="s">
        <v>29</v>
      </c>
      <c r="E131" s="5" t="s">
        <v>34</v>
      </c>
      <c r="F131" s="5" t="s">
        <v>31</v>
      </c>
      <c r="G131" s="5">
        <v>9</v>
      </c>
      <c r="H131" s="5">
        <v>3789</v>
      </c>
      <c r="I131" s="5">
        <v>34101</v>
      </c>
      <c r="J131" s="5" t="s">
        <v>35</v>
      </c>
      <c r="K131" s="5" t="s">
        <v>84</v>
      </c>
    </row>
    <row r="132" spans="1:11" x14ac:dyDescent="0.3">
      <c r="A132" s="3" t="s">
        <v>299</v>
      </c>
      <c r="B132" s="4">
        <v>45773</v>
      </c>
      <c r="C132" s="3" t="s">
        <v>300</v>
      </c>
      <c r="D132" s="3" t="s">
        <v>59</v>
      </c>
      <c r="E132" s="3" t="s">
        <v>30</v>
      </c>
      <c r="F132" s="3" t="s">
        <v>31</v>
      </c>
      <c r="G132" s="3">
        <v>8</v>
      </c>
      <c r="H132" s="3">
        <v>874</v>
      </c>
      <c r="I132" s="3">
        <v>6992</v>
      </c>
      <c r="J132" s="3" t="s">
        <v>16</v>
      </c>
      <c r="K132" s="3" t="s">
        <v>26</v>
      </c>
    </row>
    <row r="133" spans="1:11" x14ac:dyDescent="0.3">
      <c r="A133" s="5" t="s">
        <v>301</v>
      </c>
      <c r="B133" s="6">
        <v>45793</v>
      </c>
      <c r="C133" s="5" t="s">
        <v>302</v>
      </c>
      <c r="D133" s="5" t="s">
        <v>13</v>
      </c>
      <c r="E133" s="5" t="s">
        <v>67</v>
      </c>
      <c r="F133" s="5" t="s">
        <v>68</v>
      </c>
      <c r="G133" s="5">
        <v>6</v>
      </c>
      <c r="H133" s="5">
        <v>459</v>
      </c>
      <c r="I133" s="5">
        <v>2754</v>
      </c>
      <c r="J133" s="5" t="s">
        <v>16</v>
      </c>
      <c r="K133" s="5" t="s">
        <v>17</v>
      </c>
    </row>
    <row r="134" spans="1:11" x14ac:dyDescent="0.3">
      <c r="A134" s="3" t="s">
        <v>303</v>
      </c>
      <c r="B134" s="4">
        <v>45713</v>
      </c>
      <c r="C134" s="3" t="s">
        <v>304</v>
      </c>
      <c r="D134" s="3" t="s">
        <v>29</v>
      </c>
      <c r="E134" s="3" t="s">
        <v>34</v>
      </c>
      <c r="F134" s="3" t="s">
        <v>31</v>
      </c>
      <c r="G134" s="3">
        <v>7</v>
      </c>
      <c r="H134" s="3">
        <v>3725</v>
      </c>
      <c r="I134" s="3">
        <v>26075</v>
      </c>
      <c r="J134" s="3" t="s">
        <v>128</v>
      </c>
      <c r="K134" s="3" t="s">
        <v>21</v>
      </c>
    </row>
    <row r="135" spans="1:11" x14ac:dyDescent="0.3">
      <c r="A135" s="5" t="s">
        <v>305</v>
      </c>
      <c r="B135" s="6">
        <v>45690</v>
      </c>
      <c r="C135" s="5" t="s">
        <v>41</v>
      </c>
      <c r="D135" s="5" t="s">
        <v>29</v>
      </c>
      <c r="E135" s="5" t="s">
        <v>60</v>
      </c>
      <c r="F135" s="5" t="s">
        <v>25</v>
      </c>
      <c r="G135" s="5">
        <v>6</v>
      </c>
      <c r="H135" s="5">
        <v>1624</v>
      </c>
      <c r="I135" s="5">
        <v>9744</v>
      </c>
      <c r="J135" s="5" t="s">
        <v>16</v>
      </c>
      <c r="K135" s="5" t="s">
        <v>42</v>
      </c>
    </row>
    <row r="136" spans="1:11" x14ac:dyDescent="0.3">
      <c r="A136" s="3" t="s">
        <v>306</v>
      </c>
      <c r="B136" s="4">
        <v>45677</v>
      </c>
      <c r="C136" s="3" t="s">
        <v>243</v>
      </c>
      <c r="D136" s="3" t="s">
        <v>29</v>
      </c>
      <c r="E136" s="3" t="s">
        <v>34</v>
      </c>
      <c r="F136" s="3" t="s">
        <v>31</v>
      </c>
      <c r="G136" s="3">
        <v>7</v>
      </c>
      <c r="H136" s="3">
        <v>3231</v>
      </c>
      <c r="I136" s="3">
        <v>22617</v>
      </c>
      <c r="J136" s="3" t="s">
        <v>16</v>
      </c>
      <c r="K136" s="3" t="s">
        <v>95</v>
      </c>
    </row>
    <row r="137" spans="1:11" x14ac:dyDescent="0.3">
      <c r="A137" s="5" t="s">
        <v>307</v>
      </c>
      <c r="B137" s="6">
        <v>46014</v>
      </c>
      <c r="C137" s="5" t="s">
        <v>83</v>
      </c>
      <c r="D137" s="5" t="s">
        <v>59</v>
      </c>
      <c r="E137" s="5" t="s">
        <v>48</v>
      </c>
      <c r="F137" s="5" t="s">
        <v>49</v>
      </c>
      <c r="G137" s="5">
        <v>3</v>
      </c>
      <c r="H137" s="5">
        <v>8799</v>
      </c>
      <c r="I137" s="5">
        <v>26397</v>
      </c>
      <c r="J137" s="5" t="s">
        <v>16</v>
      </c>
      <c r="K137" s="5" t="s">
        <v>99</v>
      </c>
    </row>
    <row r="138" spans="1:11" x14ac:dyDescent="0.3">
      <c r="A138" s="3" t="s">
        <v>308</v>
      </c>
      <c r="B138" s="4">
        <v>45801</v>
      </c>
      <c r="C138" s="3" t="s">
        <v>309</v>
      </c>
      <c r="D138" s="3" t="s">
        <v>13</v>
      </c>
      <c r="E138" s="3" t="s">
        <v>113</v>
      </c>
      <c r="F138" s="3" t="s">
        <v>49</v>
      </c>
      <c r="G138" s="3">
        <v>2</v>
      </c>
      <c r="H138" s="3">
        <v>12800</v>
      </c>
      <c r="I138" s="3">
        <v>25600</v>
      </c>
      <c r="J138" s="3" t="s">
        <v>16</v>
      </c>
      <c r="K138" s="3" t="s">
        <v>26</v>
      </c>
    </row>
    <row r="139" spans="1:11" x14ac:dyDescent="0.3">
      <c r="A139" s="5" t="s">
        <v>310</v>
      </c>
      <c r="B139" s="6">
        <v>46009</v>
      </c>
      <c r="C139" s="5" t="s">
        <v>311</v>
      </c>
      <c r="D139" s="5" t="s">
        <v>29</v>
      </c>
      <c r="E139" s="5" t="s">
        <v>98</v>
      </c>
      <c r="F139" s="5" t="s">
        <v>68</v>
      </c>
      <c r="G139" s="5">
        <v>4</v>
      </c>
      <c r="H139" s="5">
        <v>1927</v>
      </c>
      <c r="I139" s="5">
        <v>7708</v>
      </c>
      <c r="J139" s="5" t="s">
        <v>16</v>
      </c>
      <c r="K139" s="5" t="s">
        <v>92</v>
      </c>
    </row>
    <row r="140" spans="1:11" x14ac:dyDescent="0.3">
      <c r="A140" s="3" t="s">
        <v>312</v>
      </c>
      <c r="B140" s="4">
        <v>45890</v>
      </c>
      <c r="C140" s="3" t="s">
        <v>313</v>
      </c>
      <c r="D140" s="3" t="s">
        <v>55</v>
      </c>
      <c r="E140" s="3" t="s">
        <v>30</v>
      </c>
      <c r="F140" s="3" t="s">
        <v>31</v>
      </c>
      <c r="G140" s="3">
        <v>7</v>
      </c>
      <c r="H140" s="3">
        <v>764</v>
      </c>
      <c r="I140" s="3">
        <v>5348</v>
      </c>
      <c r="J140" s="3" t="s">
        <v>128</v>
      </c>
      <c r="K140" s="3" t="s">
        <v>64</v>
      </c>
    </row>
    <row r="141" spans="1:11" x14ac:dyDescent="0.3">
      <c r="A141" s="5" t="s">
        <v>314</v>
      </c>
      <c r="B141" s="6">
        <v>45722</v>
      </c>
      <c r="C141" s="5" t="s">
        <v>315</v>
      </c>
      <c r="D141" s="5" t="s">
        <v>59</v>
      </c>
      <c r="E141" s="5" t="s">
        <v>80</v>
      </c>
      <c r="F141" s="5" t="s">
        <v>25</v>
      </c>
      <c r="G141" s="5">
        <v>1</v>
      </c>
      <c r="H141" s="5">
        <v>2643</v>
      </c>
      <c r="I141" s="5">
        <v>2643</v>
      </c>
      <c r="J141" s="5" t="s">
        <v>16</v>
      </c>
      <c r="K141" s="5" t="s">
        <v>21</v>
      </c>
    </row>
    <row r="142" spans="1:11" x14ac:dyDescent="0.3">
      <c r="A142" s="3" t="s">
        <v>316</v>
      </c>
      <c r="B142" s="4">
        <v>45826</v>
      </c>
      <c r="C142" s="3" t="s">
        <v>137</v>
      </c>
      <c r="D142" s="3" t="s">
        <v>59</v>
      </c>
      <c r="E142" s="3" t="s">
        <v>80</v>
      </c>
      <c r="F142" s="3" t="s">
        <v>25</v>
      </c>
      <c r="G142" s="3">
        <v>10</v>
      </c>
      <c r="H142" s="3">
        <v>2357</v>
      </c>
      <c r="I142" s="3">
        <v>23570</v>
      </c>
      <c r="J142" s="3" t="s">
        <v>16</v>
      </c>
      <c r="K142" s="3" t="s">
        <v>84</v>
      </c>
    </row>
    <row r="143" spans="1:11" x14ac:dyDescent="0.3">
      <c r="A143" s="5" t="s">
        <v>317</v>
      </c>
      <c r="B143" s="6">
        <v>45747</v>
      </c>
      <c r="C143" s="5" t="s">
        <v>318</v>
      </c>
      <c r="D143" s="5" t="s">
        <v>55</v>
      </c>
      <c r="E143" s="5" t="s">
        <v>14</v>
      </c>
      <c r="F143" s="5" t="s">
        <v>15</v>
      </c>
      <c r="G143" s="5">
        <v>3</v>
      </c>
      <c r="H143" s="5">
        <v>3292</v>
      </c>
      <c r="I143" s="5">
        <v>9876</v>
      </c>
      <c r="J143" s="5" t="s">
        <v>16</v>
      </c>
      <c r="K143" s="5" t="s">
        <v>64</v>
      </c>
    </row>
    <row r="144" spans="1:11" x14ac:dyDescent="0.3">
      <c r="A144" s="3" t="s">
        <v>319</v>
      </c>
      <c r="B144" s="4">
        <v>45823</v>
      </c>
      <c r="C144" s="3" t="s">
        <v>320</v>
      </c>
      <c r="D144" s="3" t="s">
        <v>55</v>
      </c>
      <c r="E144" s="3" t="s">
        <v>108</v>
      </c>
      <c r="F144" s="3" t="s">
        <v>49</v>
      </c>
      <c r="G144" s="3">
        <v>6</v>
      </c>
      <c r="H144" s="3">
        <v>7405</v>
      </c>
      <c r="I144" s="3">
        <v>44430</v>
      </c>
      <c r="J144" s="3" t="s">
        <v>16</v>
      </c>
      <c r="K144" s="3" t="s">
        <v>81</v>
      </c>
    </row>
    <row r="145" spans="1:11" x14ac:dyDescent="0.3">
      <c r="A145" s="5" t="s">
        <v>321</v>
      </c>
      <c r="B145" s="6">
        <v>45901</v>
      </c>
      <c r="C145" s="5" t="s">
        <v>322</v>
      </c>
      <c r="D145" s="5" t="s">
        <v>59</v>
      </c>
      <c r="E145" s="5" t="s">
        <v>48</v>
      </c>
      <c r="F145" s="5" t="s">
        <v>49</v>
      </c>
      <c r="G145" s="5">
        <v>7</v>
      </c>
      <c r="H145" s="5">
        <v>9046</v>
      </c>
      <c r="I145" s="5">
        <v>63322</v>
      </c>
      <c r="J145" s="5" t="s">
        <v>16</v>
      </c>
      <c r="K145" s="5" t="s">
        <v>84</v>
      </c>
    </row>
    <row r="146" spans="1:11" x14ac:dyDescent="0.3">
      <c r="A146" s="3" t="s">
        <v>323</v>
      </c>
      <c r="B146" s="4">
        <v>45680</v>
      </c>
      <c r="C146" s="3" t="s">
        <v>164</v>
      </c>
      <c r="D146" s="3" t="s">
        <v>29</v>
      </c>
      <c r="E146" s="3" t="s">
        <v>80</v>
      </c>
      <c r="F146" s="3" t="s">
        <v>25</v>
      </c>
      <c r="G146" s="3">
        <v>8</v>
      </c>
      <c r="H146" s="3">
        <v>2501</v>
      </c>
      <c r="I146" s="3">
        <v>20008</v>
      </c>
      <c r="J146" s="3" t="s">
        <v>128</v>
      </c>
      <c r="K146" s="3" t="s">
        <v>92</v>
      </c>
    </row>
    <row r="147" spans="1:11" x14ac:dyDescent="0.3">
      <c r="A147" s="5" t="s">
        <v>324</v>
      </c>
      <c r="B147" s="6">
        <v>45713</v>
      </c>
      <c r="C147" s="5" t="s">
        <v>325</v>
      </c>
      <c r="D147" s="5" t="s">
        <v>59</v>
      </c>
      <c r="E147" s="5" t="s">
        <v>20</v>
      </c>
      <c r="F147" s="5" t="s">
        <v>15</v>
      </c>
      <c r="G147" s="5">
        <v>8</v>
      </c>
      <c r="H147" s="5">
        <v>58820</v>
      </c>
      <c r="I147" s="5">
        <v>470560</v>
      </c>
      <c r="J147" s="5" t="s">
        <v>16</v>
      </c>
      <c r="K147" s="5" t="s">
        <v>26</v>
      </c>
    </row>
    <row r="148" spans="1:11" x14ac:dyDescent="0.3">
      <c r="A148" s="3" t="s">
        <v>326</v>
      </c>
      <c r="B148" s="4">
        <v>45798</v>
      </c>
      <c r="C148" s="3" t="s">
        <v>156</v>
      </c>
      <c r="D148" s="3" t="s">
        <v>55</v>
      </c>
      <c r="E148" s="3" t="s">
        <v>20</v>
      </c>
      <c r="F148" s="3" t="s">
        <v>15</v>
      </c>
      <c r="G148" s="3">
        <v>6</v>
      </c>
      <c r="H148" s="3">
        <v>56191</v>
      </c>
      <c r="I148" s="3">
        <v>337146</v>
      </c>
      <c r="J148" s="3" t="s">
        <v>16</v>
      </c>
      <c r="K148" s="3" t="s">
        <v>64</v>
      </c>
    </row>
    <row r="149" spans="1:11" x14ac:dyDescent="0.3">
      <c r="A149" s="5" t="s">
        <v>327</v>
      </c>
      <c r="B149" s="6">
        <v>45967</v>
      </c>
      <c r="C149" s="5" t="s">
        <v>328</v>
      </c>
      <c r="D149" s="5" t="s">
        <v>13</v>
      </c>
      <c r="E149" s="5" t="s">
        <v>45</v>
      </c>
      <c r="F149" s="5" t="s">
        <v>31</v>
      </c>
      <c r="G149" s="5">
        <v>10</v>
      </c>
      <c r="H149" s="5">
        <v>1811</v>
      </c>
      <c r="I149" s="5">
        <v>18110</v>
      </c>
      <c r="J149" s="5" t="s">
        <v>16</v>
      </c>
      <c r="K149" s="5" t="s">
        <v>17</v>
      </c>
    </row>
    <row r="150" spans="1:11" x14ac:dyDescent="0.3">
      <c r="A150" s="3" t="s">
        <v>329</v>
      </c>
      <c r="B150" s="4">
        <v>45831</v>
      </c>
      <c r="C150" s="3" t="s">
        <v>330</v>
      </c>
      <c r="D150" s="3" t="s">
        <v>55</v>
      </c>
      <c r="E150" s="3" t="s">
        <v>52</v>
      </c>
      <c r="F150" s="3" t="s">
        <v>15</v>
      </c>
      <c r="G150" s="3">
        <v>7</v>
      </c>
      <c r="H150" s="3">
        <v>24757</v>
      </c>
      <c r="I150" s="3">
        <v>173299</v>
      </c>
      <c r="J150" s="3" t="s">
        <v>16</v>
      </c>
      <c r="K150" s="3" t="s">
        <v>99</v>
      </c>
    </row>
    <row r="151" spans="1:11" x14ac:dyDescent="0.3">
      <c r="A151" s="5" t="s">
        <v>331</v>
      </c>
      <c r="B151" s="6">
        <v>45736</v>
      </c>
      <c r="C151" s="5" t="s">
        <v>332</v>
      </c>
      <c r="D151" s="5" t="s">
        <v>29</v>
      </c>
      <c r="E151" s="5" t="s">
        <v>14</v>
      </c>
      <c r="F151" s="5" t="s">
        <v>15</v>
      </c>
      <c r="G151" s="5">
        <v>7</v>
      </c>
      <c r="H151" s="5">
        <v>2887</v>
      </c>
      <c r="I151" s="5">
        <v>20209</v>
      </c>
      <c r="J151" s="5" t="s">
        <v>16</v>
      </c>
      <c r="K151" s="5" t="s">
        <v>17</v>
      </c>
    </row>
    <row r="152" spans="1:11" x14ac:dyDescent="0.3">
      <c r="A152" s="3" t="s">
        <v>333</v>
      </c>
      <c r="B152" s="4">
        <v>45724</v>
      </c>
      <c r="C152" s="3" t="s">
        <v>334</v>
      </c>
      <c r="D152" s="3" t="s">
        <v>59</v>
      </c>
      <c r="E152" s="3" t="s">
        <v>20</v>
      </c>
      <c r="F152" s="3" t="s">
        <v>15</v>
      </c>
      <c r="G152" s="3">
        <v>7</v>
      </c>
      <c r="H152" s="3">
        <v>50562</v>
      </c>
      <c r="I152" s="3">
        <v>353934</v>
      </c>
      <c r="J152" s="3" t="s">
        <v>16</v>
      </c>
      <c r="K152" s="3" t="s">
        <v>39</v>
      </c>
    </row>
    <row r="153" spans="1:11" x14ac:dyDescent="0.3">
      <c r="A153" s="5" t="s">
        <v>335</v>
      </c>
      <c r="B153" s="6">
        <v>45998</v>
      </c>
      <c r="C153" s="5" t="s">
        <v>97</v>
      </c>
      <c r="D153" s="5" t="s">
        <v>13</v>
      </c>
      <c r="E153" s="5" t="s">
        <v>60</v>
      </c>
      <c r="F153" s="5" t="s">
        <v>25</v>
      </c>
      <c r="G153" s="5">
        <v>6</v>
      </c>
      <c r="H153" s="5">
        <v>1551</v>
      </c>
      <c r="I153" s="5">
        <v>9306</v>
      </c>
      <c r="J153" s="5" t="s">
        <v>16</v>
      </c>
      <c r="K153" s="5" t="s">
        <v>42</v>
      </c>
    </row>
    <row r="154" spans="1:11" x14ac:dyDescent="0.3">
      <c r="A154" s="3" t="s">
        <v>336</v>
      </c>
      <c r="B154" s="4">
        <v>45917</v>
      </c>
      <c r="C154" s="3" t="s">
        <v>51</v>
      </c>
      <c r="D154" s="3" t="s">
        <v>55</v>
      </c>
      <c r="E154" s="3" t="s">
        <v>14</v>
      </c>
      <c r="F154" s="3" t="s">
        <v>15</v>
      </c>
      <c r="G154" s="3">
        <v>10</v>
      </c>
      <c r="H154" s="3">
        <v>2887</v>
      </c>
      <c r="I154" s="3">
        <v>28870</v>
      </c>
      <c r="J154" s="3" t="s">
        <v>16</v>
      </c>
      <c r="K154" s="3" t="s">
        <v>81</v>
      </c>
    </row>
    <row r="155" spans="1:11" x14ac:dyDescent="0.3">
      <c r="A155" s="5" t="s">
        <v>337</v>
      </c>
      <c r="B155" s="6">
        <v>45800</v>
      </c>
      <c r="C155" s="5" t="s">
        <v>338</v>
      </c>
      <c r="D155" s="5" t="s">
        <v>13</v>
      </c>
      <c r="E155" s="5" t="s">
        <v>108</v>
      </c>
      <c r="F155" s="5" t="s">
        <v>49</v>
      </c>
      <c r="G155" s="5">
        <v>6</v>
      </c>
      <c r="H155" s="5">
        <v>7483</v>
      </c>
      <c r="I155" s="5">
        <v>44898</v>
      </c>
      <c r="J155" s="5" t="s">
        <v>16</v>
      </c>
      <c r="K155" s="5" t="s">
        <v>21</v>
      </c>
    </row>
    <row r="156" spans="1:11" x14ac:dyDescent="0.3">
      <c r="A156" s="3" t="s">
        <v>339</v>
      </c>
      <c r="B156" s="4">
        <v>45969</v>
      </c>
      <c r="C156" s="3" t="s">
        <v>340</v>
      </c>
      <c r="D156" s="3" t="s">
        <v>55</v>
      </c>
      <c r="E156" s="3" t="s">
        <v>60</v>
      </c>
      <c r="F156" s="3" t="s">
        <v>25</v>
      </c>
      <c r="G156" s="3">
        <v>10</v>
      </c>
      <c r="H156" s="3">
        <v>1552</v>
      </c>
      <c r="I156" s="3">
        <v>15520</v>
      </c>
      <c r="J156" s="3" t="s">
        <v>16</v>
      </c>
      <c r="K156" s="3" t="s">
        <v>42</v>
      </c>
    </row>
    <row r="157" spans="1:11" x14ac:dyDescent="0.3">
      <c r="A157" s="5" t="s">
        <v>341</v>
      </c>
      <c r="B157" s="6">
        <v>45831</v>
      </c>
      <c r="C157" s="5" t="s">
        <v>195</v>
      </c>
      <c r="D157" s="5" t="s">
        <v>13</v>
      </c>
      <c r="E157" s="5" t="s">
        <v>52</v>
      </c>
      <c r="F157" s="5" t="s">
        <v>15</v>
      </c>
      <c r="G157" s="5">
        <v>5</v>
      </c>
      <c r="H157" s="5">
        <v>26013</v>
      </c>
      <c r="I157" s="5">
        <v>130065</v>
      </c>
      <c r="J157" s="5" t="s">
        <v>16</v>
      </c>
      <c r="K157" s="5" t="s">
        <v>39</v>
      </c>
    </row>
    <row r="158" spans="1:11" x14ac:dyDescent="0.3">
      <c r="A158" s="3" t="s">
        <v>342</v>
      </c>
      <c r="B158" s="4">
        <v>45673</v>
      </c>
      <c r="C158" s="3" t="s">
        <v>313</v>
      </c>
      <c r="D158" s="3" t="s">
        <v>59</v>
      </c>
      <c r="E158" s="3" t="s">
        <v>48</v>
      </c>
      <c r="F158" s="3" t="s">
        <v>49</v>
      </c>
      <c r="G158" s="3">
        <v>7</v>
      </c>
      <c r="H158" s="3">
        <v>8225</v>
      </c>
      <c r="I158" s="3">
        <v>57575</v>
      </c>
      <c r="J158" s="3" t="s">
        <v>16</v>
      </c>
      <c r="K158" s="3" t="s">
        <v>26</v>
      </c>
    </row>
    <row r="159" spans="1:11" x14ac:dyDescent="0.3">
      <c r="A159" s="5" t="s">
        <v>343</v>
      </c>
      <c r="B159" s="6">
        <v>45824</v>
      </c>
      <c r="C159" s="5" t="s">
        <v>344</v>
      </c>
      <c r="D159" s="5" t="s">
        <v>29</v>
      </c>
      <c r="E159" s="5" t="s">
        <v>98</v>
      </c>
      <c r="F159" s="5" t="s">
        <v>68</v>
      </c>
      <c r="G159" s="5">
        <v>8</v>
      </c>
      <c r="H159" s="5">
        <v>1742</v>
      </c>
      <c r="I159" s="5">
        <v>13936</v>
      </c>
      <c r="J159" s="5" t="s">
        <v>16</v>
      </c>
      <c r="K159" s="5" t="s">
        <v>89</v>
      </c>
    </row>
    <row r="160" spans="1:11" x14ac:dyDescent="0.3">
      <c r="A160" s="3" t="s">
        <v>345</v>
      </c>
      <c r="B160" s="4">
        <v>45699</v>
      </c>
      <c r="C160" s="3" t="s">
        <v>346</v>
      </c>
      <c r="D160" s="3" t="s">
        <v>59</v>
      </c>
      <c r="E160" s="3" t="s">
        <v>52</v>
      </c>
      <c r="F160" s="3" t="s">
        <v>15</v>
      </c>
      <c r="G160" s="3">
        <v>3</v>
      </c>
      <c r="H160" s="3">
        <v>26272</v>
      </c>
      <c r="I160" s="3">
        <v>78816</v>
      </c>
      <c r="J160" s="3" t="s">
        <v>16</v>
      </c>
      <c r="K160" s="3" t="s">
        <v>95</v>
      </c>
    </row>
    <row r="161" spans="1:11" x14ac:dyDescent="0.3">
      <c r="A161" s="5" t="s">
        <v>347</v>
      </c>
      <c r="B161" s="6">
        <v>45920</v>
      </c>
      <c r="C161" s="5" t="s">
        <v>348</v>
      </c>
      <c r="D161" s="5" t="s">
        <v>13</v>
      </c>
      <c r="E161" s="5" t="s">
        <v>67</v>
      </c>
      <c r="F161" s="5" t="s">
        <v>68</v>
      </c>
      <c r="G161" s="5">
        <v>8</v>
      </c>
      <c r="H161" s="5">
        <v>491</v>
      </c>
      <c r="I161" s="5">
        <v>3928</v>
      </c>
      <c r="J161" s="5" t="s">
        <v>16</v>
      </c>
      <c r="K161" s="5" t="s">
        <v>61</v>
      </c>
    </row>
    <row r="162" spans="1:11" x14ac:dyDescent="0.3">
      <c r="A162" s="3" t="s">
        <v>349</v>
      </c>
      <c r="B162" s="4">
        <v>45681</v>
      </c>
      <c r="C162" s="3" t="s">
        <v>350</v>
      </c>
      <c r="D162" s="3" t="s">
        <v>29</v>
      </c>
      <c r="E162" s="3" t="s">
        <v>34</v>
      </c>
      <c r="F162" s="3" t="s">
        <v>31</v>
      </c>
      <c r="G162" s="3">
        <v>10</v>
      </c>
      <c r="H162" s="3">
        <v>3490</v>
      </c>
      <c r="I162" s="3">
        <v>34900</v>
      </c>
      <c r="J162" s="3" t="s">
        <v>16</v>
      </c>
      <c r="K162" s="3" t="s">
        <v>99</v>
      </c>
    </row>
    <row r="163" spans="1:11" x14ac:dyDescent="0.3">
      <c r="A163" s="5" t="s">
        <v>351</v>
      </c>
      <c r="B163" s="6">
        <v>45728</v>
      </c>
      <c r="C163" s="5" t="s">
        <v>352</v>
      </c>
      <c r="D163" s="5" t="s">
        <v>55</v>
      </c>
      <c r="E163" s="5" t="s">
        <v>20</v>
      </c>
      <c r="F163" s="5" t="s">
        <v>15</v>
      </c>
      <c r="G163" s="5">
        <v>4</v>
      </c>
      <c r="H163" s="5">
        <v>52815</v>
      </c>
      <c r="I163" s="5">
        <v>211260</v>
      </c>
      <c r="J163" s="5" t="s">
        <v>16</v>
      </c>
      <c r="K163" s="5" t="s">
        <v>56</v>
      </c>
    </row>
    <row r="164" spans="1:11" x14ac:dyDescent="0.3">
      <c r="A164" s="3" t="s">
        <v>353</v>
      </c>
      <c r="B164" s="4">
        <v>46018</v>
      </c>
      <c r="C164" s="3" t="s">
        <v>88</v>
      </c>
      <c r="D164" s="3" t="s">
        <v>59</v>
      </c>
      <c r="E164" s="3" t="s">
        <v>116</v>
      </c>
      <c r="F164" s="3" t="s">
        <v>15</v>
      </c>
      <c r="G164" s="3">
        <v>7</v>
      </c>
      <c r="H164" s="3">
        <v>7481</v>
      </c>
      <c r="I164" s="3">
        <v>52367</v>
      </c>
      <c r="J164" s="3" t="s">
        <v>16</v>
      </c>
      <c r="K164" s="3" t="s">
        <v>92</v>
      </c>
    </row>
    <row r="165" spans="1:11" x14ac:dyDescent="0.3">
      <c r="A165" s="5" t="s">
        <v>354</v>
      </c>
      <c r="B165" s="6">
        <v>45667</v>
      </c>
      <c r="C165" s="5" t="s">
        <v>355</v>
      </c>
      <c r="D165" s="5" t="s">
        <v>13</v>
      </c>
      <c r="E165" s="5" t="s">
        <v>30</v>
      </c>
      <c r="F165" s="5" t="s">
        <v>31</v>
      </c>
      <c r="G165" s="5">
        <v>7</v>
      </c>
      <c r="H165" s="5">
        <v>857</v>
      </c>
      <c r="I165" s="5">
        <v>5999</v>
      </c>
      <c r="J165" s="5" t="s">
        <v>16</v>
      </c>
      <c r="K165" s="5" t="s">
        <v>36</v>
      </c>
    </row>
    <row r="166" spans="1:11" x14ac:dyDescent="0.3">
      <c r="A166" s="3" t="s">
        <v>356</v>
      </c>
      <c r="B166" s="4">
        <v>45871</v>
      </c>
      <c r="C166" s="3" t="s">
        <v>357</v>
      </c>
      <c r="D166" s="3" t="s">
        <v>59</v>
      </c>
      <c r="E166" s="3" t="s">
        <v>34</v>
      </c>
      <c r="F166" s="3" t="s">
        <v>31</v>
      </c>
      <c r="G166" s="3">
        <v>7</v>
      </c>
      <c r="H166" s="3">
        <v>3551</v>
      </c>
      <c r="I166" s="3">
        <v>24857</v>
      </c>
      <c r="J166" s="3" t="s">
        <v>16</v>
      </c>
      <c r="K166" s="3" t="s">
        <v>17</v>
      </c>
    </row>
    <row r="167" spans="1:11" x14ac:dyDescent="0.3">
      <c r="A167" s="5" t="s">
        <v>358</v>
      </c>
      <c r="B167" s="6">
        <v>45843</v>
      </c>
      <c r="C167" s="5" t="s">
        <v>359</v>
      </c>
      <c r="D167" s="5" t="s">
        <v>29</v>
      </c>
      <c r="E167" s="5" t="s">
        <v>30</v>
      </c>
      <c r="F167" s="5" t="s">
        <v>31</v>
      </c>
      <c r="G167" s="5">
        <v>10</v>
      </c>
      <c r="H167" s="5">
        <v>793</v>
      </c>
      <c r="I167" s="5">
        <v>7930</v>
      </c>
      <c r="J167" s="5" t="s">
        <v>16</v>
      </c>
      <c r="K167" s="5" t="s">
        <v>99</v>
      </c>
    </row>
    <row r="168" spans="1:11" x14ac:dyDescent="0.3">
      <c r="A168" s="3" t="s">
        <v>360</v>
      </c>
      <c r="B168" s="4">
        <v>45816</v>
      </c>
      <c r="C168" s="3" t="s">
        <v>361</v>
      </c>
      <c r="D168" s="3" t="s">
        <v>55</v>
      </c>
      <c r="E168" s="3" t="s">
        <v>113</v>
      </c>
      <c r="F168" s="3" t="s">
        <v>49</v>
      </c>
      <c r="G168" s="3">
        <v>10</v>
      </c>
      <c r="H168" s="3">
        <v>11761</v>
      </c>
      <c r="I168" s="3">
        <v>117610</v>
      </c>
      <c r="J168" s="3" t="s">
        <v>16</v>
      </c>
      <c r="K168" s="3" t="s">
        <v>21</v>
      </c>
    </row>
    <row r="169" spans="1:11" x14ac:dyDescent="0.3">
      <c r="A169" s="5" t="s">
        <v>362</v>
      </c>
      <c r="B169" s="6">
        <v>45757</v>
      </c>
      <c r="C169" s="5" t="s">
        <v>363</v>
      </c>
      <c r="D169" s="5" t="s">
        <v>59</v>
      </c>
      <c r="E169" s="5" t="s">
        <v>108</v>
      </c>
      <c r="F169" s="5" t="s">
        <v>49</v>
      </c>
      <c r="G169" s="5">
        <v>9</v>
      </c>
      <c r="H169" s="5">
        <v>7186</v>
      </c>
      <c r="I169" s="5">
        <v>64674</v>
      </c>
      <c r="J169" s="5" t="s">
        <v>16</v>
      </c>
      <c r="K169" s="5" t="s">
        <v>61</v>
      </c>
    </row>
    <row r="170" spans="1:11" x14ac:dyDescent="0.3">
      <c r="A170" s="3" t="s">
        <v>364</v>
      </c>
      <c r="B170" s="4">
        <v>45966</v>
      </c>
      <c r="C170" s="3" t="s">
        <v>63</v>
      </c>
      <c r="D170" s="3" t="s">
        <v>13</v>
      </c>
      <c r="E170" s="3" t="s">
        <v>108</v>
      </c>
      <c r="F170" s="3" t="s">
        <v>49</v>
      </c>
      <c r="G170" s="3">
        <v>2</v>
      </c>
      <c r="H170" s="3">
        <v>6505</v>
      </c>
      <c r="I170" s="3">
        <v>13010</v>
      </c>
      <c r="J170" s="3" t="s">
        <v>16</v>
      </c>
      <c r="K170" s="3" t="s">
        <v>84</v>
      </c>
    </row>
    <row r="171" spans="1:11" x14ac:dyDescent="0.3">
      <c r="A171" s="5" t="s">
        <v>365</v>
      </c>
      <c r="B171" s="6">
        <v>45954</v>
      </c>
      <c r="C171" s="5" t="s">
        <v>322</v>
      </c>
      <c r="D171" s="5" t="s">
        <v>55</v>
      </c>
      <c r="E171" s="5" t="s">
        <v>52</v>
      </c>
      <c r="F171" s="5" t="s">
        <v>15</v>
      </c>
      <c r="G171" s="5">
        <v>8</v>
      </c>
      <c r="H171" s="5">
        <v>24819</v>
      </c>
      <c r="I171" s="5">
        <v>198552</v>
      </c>
      <c r="J171" s="5" t="s">
        <v>16</v>
      </c>
      <c r="K171" s="5" t="s">
        <v>64</v>
      </c>
    </row>
    <row r="172" spans="1:11" x14ac:dyDescent="0.3">
      <c r="A172" s="3" t="s">
        <v>366</v>
      </c>
      <c r="B172" s="4">
        <v>45819</v>
      </c>
      <c r="C172" s="3" t="s">
        <v>367</v>
      </c>
      <c r="D172" s="3" t="s">
        <v>55</v>
      </c>
      <c r="E172" s="3" t="s">
        <v>60</v>
      </c>
      <c r="F172" s="3" t="s">
        <v>25</v>
      </c>
      <c r="G172" s="3">
        <v>10</v>
      </c>
      <c r="H172" s="3">
        <v>1446</v>
      </c>
      <c r="I172" s="3">
        <v>14460</v>
      </c>
      <c r="J172" s="3" t="s">
        <v>128</v>
      </c>
      <c r="K172" s="3" t="s">
        <v>95</v>
      </c>
    </row>
    <row r="173" spans="1:11" x14ac:dyDescent="0.3">
      <c r="A173" s="5" t="s">
        <v>368</v>
      </c>
      <c r="B173" s="6">
        <v>45838</v>
      </c>
      <c r="C173" s="5" t="s">
        <v>369</v>
      </c>
      <c r="D173" s="5" t="s">
        <v>59</v>
      </c>
      <c r="E173" s="5" t="s">
        <v>67</v>
      </c>
      <c r="F173" s="5" t="s">
        <v>68</v>
      </c>
      <c r="G173" s="5">
        <v>5</v>
      </c>
      <c r="H173" s="5">
        <v>529</v>
      </c>
      <c r="I173" s="5">
        <v>2645</v>
      </c>
      <c r="J173" s="5" t="s">
        <v>16</v>
      </c>
      <c r="K173" s="5" t="s">
        <v>17</v>
      </c>
    </row>
    <row r="174" spans="1:11" x14ac:dyDescent="0.3">
      <c r="A174" s="3" t="s">
        <v>370</v>
      </c>
      <c r="B174" s="4">
        <v>45988</v>
      </c>
      <c r="C174" s="3" t="s">
        <v>313</v>
      </c>
      <c r="D174" s="3" t="s">
        <v>59</v>
      </c>
      <c r="E174" s="3" t="s">
        <v>73</v>
      </c>
      <c r="F174" s="3" t="s">
        <v>68</v>
      </c>
      <c r="G174" s="3">
        <v>1</v>
      </c>
      <c r="H174" s="3">
        <v>1168</v>
      </c>
      <c r="I174" s="3">
        <v>1168</v>
      </c>
      <c r="J174" s="3" t="s">
        <v>16</v>
      </c>
      <c r="K174" s="3" t="s">
        <v>89</v>
      </c>
    </row>
    <row r="175" spans="1:11" x14ac:dyDescent="0.3">
      <c r="A175" s="5" t="s">
        <v>371</v>
      </c>
      <c r="B175" s="6">
        <v>45679</v>
      </c>
      <c r="C175" s="5" t="s">
        <v>372</v>
      </c>
      <c r="D175" s="5" t="s">
        <v>13</v>
      </c>
      <c r="E175" s="5" t="s">
        <v>98</v>
      </c>
      <c r="F175" s="5" t="s">
        <v>68</v>
      </c>
      <c r="G175" s="5">
        <v>10</v>
      </c>
      <c r="H175" s="5">
        <v>1819</v>
      </c>
      <c r="I175" s="5">
        <v>18190</v>
      </c>
      <c r="J175" s="5" t="s">
        <v>35</v>
      </c>
      <c r="K175" s="5" t="s">
        <v>36</v>
      </c>
    </row>
    <row r="176" spans="1:11" x14ac:dyDescent="0.3">
      <c r="A176" s="3" t="s">
        <v>373</v>
      </c>
      <c r="B176" s="4">
        <v>45689</v>
      </c>
      <c r="C176" s="3" t="s">
        <v>372</v>
      </c>
      <c r="D176" s="3" t="s">
        <v>55</v>
      </c>
      <c r="E176" s="3" t="s">
        <v>113</v>
      </c>
      <c r="F176" s="3" t="s">
        <v>49</v>
      </c>
      <c r="G176" s="3">
        <v>10</v>
      </c>
      <c r="H176" s="3">
        <v>11941</v>
      </c>
      <c r="I176" s="3">
        <v>119410</v>
      </c>
      <c r="J176" s="3" t="s">
        <v>16</v>
      </c>
      <c r="K176" s="3" t="s">
        <v>17</v>
      </c>
    </row>
    <row r="177" spans="1:11" x14ac:dyDescent="0.3">
      <c r="A177" s="5" t="s">
        <v>374</v>
      </c>
      <c r="B177" s="6">
        <v>45784</v>
      </c>
      <c r="C177" s="5" t="s">
        <v>86</v>
      </c>
      <c r="D177" s="5" t="s">
        <v>55</v>
      </c>
      <c r="E177" s="5" t="s">
        <v>34</v>
      </c>
      <c r="F177" s="5" t="s">
        <v>31</v>
      </c>
      <c r="G177" s="5">
        <v>2</v>
      </c>
      <c r="H177" s="5">
        <v>3503</v>
      </c>
      <c r="I177" s="5">
        <v>7006</v>
      </c>
      <c r="J177" s="5" t="s">
        <v>16</v>
      </c>
      <c r="K177" s="5" t="s">
        <v>95</v>
      </c>
    </row>
    <row r="178" spans="1:11" x14ac:dyDescent="0.3">
      <c r="A178" s="3" t="s">
        <v>375</v>
      </c>
      <c r="B178" s="4">
        <v>45867</v>
      </c>
      <c r="C178" s="3" t="s">
        <v>361</v>
      </c>
      <c r="D178" s="3" t="s">
        <v>29</v>
      </c>
      <c r="E178" s="3" t="s">
        <v>80</v>
      </c>
      <c r="F178" s="3" t="s">
        <v>25</v>
      </c>
      <c r="G178" s="3">
        <v>6</v>
      </c>
      <c r="H178" s="3">
        <v>2436</v>
      </c>
      <c r="I178" s="3">
        <v>14616</v>
      </c>
      <c r="J178" s="3" t="s">
        <v>16</v>
      </c>
      <c r="K178" s="3" t="s">
        <v>64</v>
      </c>
    </row>
    <row r="179" spans="1:11" x14ac:dyDescent="0.3">
      <c r="A179" s="5" t="s">
        <v>376</v>
      </c>
      <c r="B179" s="6">
        <v>45803</v>
      </c>
      <c r="C179" s="5" t="s">
        <v>377</v>
      </c>
      <c r="D179" s="5" t="s">
        <v>13</v>
      </c>
      <c r="E179" s="5" t="s">
        <v>30</v>
      </c>
      <c r="F179" s="5" t="s">
        <v>31</v>
      </c>
      <c r="G179" s="5">
        <v>6</v>
      </c>
      <c r="H179" s="5">
        <v>735</v>
      </c>
      <c r="I179" s="5">
        <v>4410</v>
      </c>
      <c r="J179" s="5" t="s">
        <v>16</v>
      </c>
      <c r="K179" s="5" t="s">
        <v>26</v>
      </c>
    </row>
    <row r="180" spans="1:11" x14ac:dyDescent="0.3">
      <c r="A180" s="3" t="s">
        <v>378</v>
      </c>
      <c r="B180" s="4">
        <v>45837</v>
      </c>
      <c r="C180" s="3" t="s">
        <v>166</v>
      </c>
      <c r="D180" s="3" t="s">
        <v>55</v>
      </c>
      <c r="E180" s="3" t="s">
        <v>80</v>
      </c>
      <c r="F180" s="3" t="s">
        <v>25</v>
      </c>
      <c r="G180" s="3">
        <v>6</v>
      </c>
      <c r="H180" s="3">
        <v>2290</v>
      </c>
      <c r="I180" s="3">
        <v>13740</v>
      </c>
      <c r="J180" s="3" t="s">
        <v>16</v>
      </c>
      <c r="K180" s="3" t="s">
        <v>64</v>
      </c>
    </row>
    <row r="181" spans="1:11" x14ac:dyDescent="0.3">
      <c r="A181" s="5" t="s">
        <v>379</v>
      </c>
      <c r="B181" s="6">
        <v>45944</v>
      </c>
      <c r="C181" s="5" t="s">
        <v>380</v>
      </c>
      <c r="D181" s="5" t="s">
        <v>13</v>
      </c>
      <c r="E181" s="5" t="s">
        <v>73</v>
      </c>
      <c r="F181" s="5" t="s">
        <v>68</v>
      </c>
      <c r="G181" s="5">
        <v>10</v>
      </c>
      <c r="H181" s="5">
        <v>1250</v>
      </c>
      <c r="I181" s="5">
        <v>12500</v>
      </c>
      <c r="J181" s="5" t="s">
        <v>16</v>
      </c>
      <c r="K181" s="5" t="s">
        <v>64</v>
      </c>
    </row>
    <row r="182" spans="1:11" x14ac:dyDescent="0.3">
      <c r="A182" s="3" t="s">
        <v>381</v>
      </c>
      <c r="B182" s="4">
        <v>45918</v>
      </c>
      <c r="C182" s="3" t="s">
        <v>255</v>
      </c>
      <c r="D182" s="3" t="s">
        <v>55</v>
      </c>
      <c r="E182" s="3" t="s">
        <v>48</v>
      </c>
      <c r="F182" s="3" t="s">
        <v>49</v>
      </c>
      <c r="G182" s="3">
        <v>9</v>
      </c>
      <c r="H182" s="3">
        <v>8268</v>
      </c>
      <c r="I182" s="3">
        <v>74412</v>
      </c>
      <c r="J182" s="3" t="s">
        <v>16</v>
      </c>
      <c r="K182" s="3" t="s">
        <v>39</v>
      </c>
    </row>
    <row r="183" spans="1:11" x14ac:dyDescent="0.3">
      <c r="A183" s="5" t="s">
        <v>382</v>
      </c>
      <c r="B183" s="6">
        <v>45773</v>
      </c>
      <c r="C183" s="5" t="s">
        <v>383</v>
      </c>
      <c r="D183" s="5" t="s">
        <v>29</v>
      </c>
      <c r="E183" s="5" t="s">
        <v>108</v>
      </c>
      <c r="F183" s="5" t="s">
        <v>49</v>
      </c>
      <c r="G183" s="5">
        <v>6</v>
      </c>
      <c r="H183" s="5">
        <v>7626</v>
      </c>
      <c r="I183" s="5">
        <v>45756</v>
      </c>
      <c r="J183" s="5" t="s">
        <v>16</v>
      </c>
      <c r="K183" s="5" t="s">
        <v>81</v>
      </c>
    </row>
    <row r="184" spans="1:11" x14ac:dyDescent="0.3">
      <c r="A184" s="3" t="s">
        <v>384</v>
      </c>
      <c r="B184" s="4">
        <v>45963</v>
      </c>
      <c r="C184" s="3" t="s">
        <v>380</v>
      </c>
      <c r="D184" s="3" t="s">
        <v>59</v>
      </c>
      <c r="E184" s="3" t="s">
        <v>20</v>
      </c>
      <c r="F184" s="3" t="s">
        <v>15</v>
      </c>
      <c r="G184" s="3">
        <v>6</v>
      </c>
      <c r="H184" s="3">
        <v>59140</v>
      </c>
      <c r="I184" s="3">
        <v>354840</v>
      </c>
      <c r="J184" s="3" t="s">
        <v>16</v>
      </c>
      <c r="K184" s="3" t="s">
        <v>81</v>
      </c>
    </row>
    <row r="185" spans="1:11" x14ac:dyDescent="0.3">
      <c r="A185" s="5" t="s">
        <v>385</v>
      </c>
      <c r="B185" s="6">
        <v>45779</v>
      </c>
      <c r="C185" s="5" t="s">
        <v>386</v>
      </c>
      <c r="D185" s="5" t="s">
        <v>59</v>
      </c>
      <c r="E185" s="5" t="s">
        <v>80</v>
      </c>
      <c r="F185" s="5" t="s">
        <v>25</v>
      </c>
      <c r="G185" s="5">
        <v>8</v>
      </c>
      <c r="H185" s="5">
        <v>2271</v>
      </c>
      <c r="I185" s="5">
        <v>18168</v>
      </c>
      <c r="J185" s="5" t="s">
        <v>16</v>
      </c>
      <c r="K185" s="5" t="s">
        <v>89</v>
      </c>
    </row>
    <row r="186" spans="1:11" x14ac:dyDescent="0.3">
      <c r="A186" s="3" t="s">
        <v>387</v>
      </c>
      <c r="B186" s="4">
        <v>45898</v>
      </c>
      <c r="C186" s="3" t="s">
        <v>388</v>
      </c>
      <c r="D186" s="3" t="s">
        <v>59</v>
      </c>
      <c r="E186" s="3" t="s">
        <v>73</v>
      </c>
      <c r="F186" s="3" t="s">
        <v>68</v>
      </c>
      <c r="G186" s="3">
        <v>9</v>
      </c>
      <c r="H186" s="3">
        <v>1137</v>
      </c>
      <c r="I186" s="3">
        <v>10233</v>
      </c>
      <c r="J186" s="3" t="s">
        <v>128</v>
      </c>
      <c r="K186" s="3" t="s">
        <v>61</v>
      </c>
    </row>
    <row r="187" spans="1:11" x14ac:dyDescent="0.3">
      <c r="A187" s="5" t="s">
        <v>389</v>
      </c>
      <c r="B187" s="6">
        <v>45915</v>
      </c>
      <c r="C187" s="5" t="s">
        <v>66</v>
      </c>
      <c r="D187" s="5" t="s">
        <v>13</v>
      </c>
      <c r="E187" s="5" t="s">
        <v>24</v>
      </c>
      <c r="F187" s="5" t="s">
        <v>25</v>
      </c>
      <c r="G187" s="5">
        <v>8</v>
      </c>
      <c r="H187" s="5">
        <v>1264</v>
      </c>
      <c r="I187" s="5">
        <v>10112</v>
      </c>
      <c r="J187" s="5" t="s">
        <v>16</v>
      </c>
      <c r="K187" s="5" t="s">
        <v>99</v>
      </c>
    </row>
    <row r="188" spans="1:11" x14ac:dyDescent="0.3">
      <c r="A188" s="3" t="s">
        <v>390</v>
      </c>
      <c r="B188" s="4">
        <v>45904</v>
      </c>
      <c r="C188" s="3" t="s">
        <v>391</v>
      </c>
      <c r="D188" s="3" t="s">
        <v>55</v>
      </c>
      <c r="E188" s="3" t="s">
        <v>48</v>
      </c>
      <c r="F188" s="3" t="s">
        <v>49</v>
      </c>
      <c r="G188" s="3">
        <v>3</v>
      </c>
      <c r="H188" s="3">
        <v>9671</v>
      </c>
      <c r="I188" s="3">
        <v>29013</v>
      </c>
      <c r="J188" s="3" t="s">
        <v>16</v>
      </c>
      <c r="K188" s="3" t="s">
        <v>92</v>
      </c>
    </row>
    <row r="189" spans="1:11" x14ac:dyDescent="0.3">
      <c r="A189" s="5" t="s">
        <v>392</v>
      </c>
      <c r="B189" s="6">
        <v>45888</v>
      </c>
      <c r="C189" s="5" t="s">
        <v>393</v>
      </c>
      <c r="D189" s="5" t="s">
        <v>55</v>
      </c>
      <c r="E189" s="5" t="s">
        <v>80</v>
      </c>
      <c r="F189" s="5" t="s">
        <v>25</v>
      </c>
      <c r="G189" s="5">
        <v>5</v>
      </c>
      <c r="H189" s="5">
        <v>2291</v>
      </c>
      <c r="I189" s="5">
        <v>11455</v>
      </c>
      <c r="J189" s="5" t="s">
        <v>16</v>
      </c>
      <c r="K189" s="5" t="s">
        <v>81</v>
      </c>
    </row>
    <row r="190" spans="1:11" x14ac:dyDescent="0.3">
      <c r="A190" s="3" t="s">
        <v>394</v>
      </c>
      <c r="B190" s="4">
        <v>45870</v>
      </c>
      <c r="C190" s="3" t="s">
        <v>230</v>
      </c>
      <c r="D190" s="3" t="s">
        <v>55</v>
      </c>
      <c r="E190" s="3" t="s">
        <v>52</v>
      </c>
      <c r="F190" s="3" t="s">
        <v>15</v>
      </c>
      <c r="G190" s="3">
        <v>8</v>
      </c>
      <c r="H190" s="3">
        <v>26923</v>
      </c>
      <c r="I190" s="3">
        <v>215384</v>
      </c>
      <c r="J190" s="3" t="s">
        <v>35</v>
      </c>
      <c r="K190" s="3" t="s">
        <v>99</v>
      </c>
    </row>
    <row r="191" spans="1:11" x14ac:dyDescent="0.3">
      <c r="A191" s="5" t="s">
        <v>395</v>
      </c>
      <c r="B191" s="6">
        <v>45708</v>
      </c>
      <c r="C191" s="5" t="s">
        <v>396</v>
      </c>
      <c r="D191" s="5" t="s">
        <v>29</v>
      </c>
      <c r="E191" s="5" t="s">
        <v>113</v>
      </c>
      <c r="F191" s="5" t="s">
        <v>49</v>
      </c>
      <c r="G191" s="5">
        <v>2</v>
      </c>
      <c r="H191" s="5">
        <v>11699</v>
      </c>
      <c r="I191" s="5">
        <v>23398</v>
      </c>
      <c r="J191" s="5" t="s">
        <v>16</v>
      </c>
      <c r="K191" s="5" t="s">
        <v>61</v>
      </c>
    </row>
    <row r="192" spans="1:11" x14ac:dyDescent="0.3">
      <c r="A192" s="3" t="s">
        <v>397</v>
      </c>
      <c r="B192" s="4">
        <v>45729</v>
      </c>
      <c r="C192" s="3" t="s">
        <v>145</v>
      </c>
      <c r="D192" s="3" t="s">
        <v>55</v>
      </c>
      <c r="E192" s="3" t="s">
        <v>108</v>
      </c>
      <c r="F192" s="3" t="s">
        <v>49</v>
      </c>
      <c r="G192" s="3">
        <v>5</v>
      </c>
      <c r="H192" s="3">
        <v>7584</v>
      </c>
      <c r="I192" s="3">
        <v>37920</v>
      </c>
      <c r="J192" s="3" t="s">
        <v>16</v>
      </c>
      <c r="K192" s="3" t="s">
        <v>95</v>
      </c>
    </row>
    <row r="193" spans="1:11" x14ac:dyDescent="0.3">
      <c r="A193" s="5" t="s">
        <v>398</v>
      </c>
      <c r="B193" s="6">
        <v>45969</v>
      </c>
      <c r="C193" s="5" t="s">
        <v>66</v>
      </c>
      <c r="D193" s="5" t="s">
        <v>13</v>
      </c>
      <c r="E193" s="5" t="s">
        <v>20</v>
      </c>
      <c r="F193" s="5" t="s">
        <v>15</v>
      </c>
      <c r="G193" s="5">
        <v>5</v>
      </c>
      <c r="H193" s="5">
        <v>51872</v>
      </c>
      <c r="I193" s="5">
        <v>259360</v>
      </c>
      <c r="J193" s="5" t="s">
        <v>16</v>
      </c>
      <c r="K193" s="5" t="s">
        <v>99</v>
      </c>
    </row>
    <row r="194" spans="1:11" x14ac:dyDescent="0.3">
      <c r="A194" s="3" t="s">
        <v>399</v>
      </c>
      <c r="B194" s="4">
        <v>45985</v>
      </c>
      <c r="C194" s="3" t="s">
        <v>400</v>
      </c>
      <c r="D194" s="3" t="s">
        <v>59</v>
      </c>
      <c r="E194" s="3" t="s">
        <v>30</v>
      </c>
      <c r="F194" s="3" t="s">
        <v>31</v>
      </c>
      <c r="G194" s="3">
        <v>5</v>
      </c>
      <c r="H194" s="3">
        <v>739</v>
      </c>
      <c r="I194" s="3">
        <v>3695</v>
      </c>
      <c r="J194" s="3" t="s">
        <v>16</v>
      </c>
      <c r="K194" s="3" t="s">
        <v>95</v>
      </c>
    </row>
    <row r="195" spans="1:11" x14ac:dyDescent="0.3">
      <c r="A195" s="5" t="s">
        <v>401</v>
      </c>
      <c r="B195" s="6">
        <v>45781</v>
      </c>
      <c r="C195" s="5" t="s">
        <v>54</v>
      </c>
      <c r="D195" s="5" t="s">
        <v>59</v>
      </c>
      <c r="E195" s="5" t="s">
        <v>67</v>
      </c>
      <c r="F195" s="5" t="s">
        <v>68</v>
      </c>
      <c r="G195" s="5">
        <v>9</v>
      </c>
      <c r="H195" s="5">
        <v>451</v>
      </c>
      <c r="I195" s="5">
        <v>4059</v>
      </c>
      <c r="J195" s="5" t="s">
        <v>16</v>
      </c>
      <c r="K195" s="5" t="s">
        <v>56</v>
      </c>
    </row>
    <row r="196" spans="1:11" x14ac:dyDescent="0.3">
      <c r="A196" s="3" t="s">
        <v>402</v>
      </c>
      <c r="B196" s="4">
        <v>46000</v>
      </c>
      <c r="C196" s="3" t="s">
        <v>403</v>
      </c>
      <c r="D196" s="3" t="s">
        <v>29</v>
      </c>
      <c r="E196" s="3" t="s">
        <v>24</v>
      </c>
      <c r="F196" s="3" t="s">
        <v>25</v>
      </c>
      <c r="G196" s="3">
        <v>4</v>
      </c>
      <c r="H196" s="3">
        <v>1216</v>
      </c>
      <c r="I196" s="3">
        <v>4864</v>
      </c>
      <c r="J196" s="3" t="s">
        <v>16</v>
      </c>
      <c r="K196" s="3" t="s">
        <v>92</v>
      </c>
    </row>
    <row r="197" spans="1:11" x14ac:dyDescent="0.3">
      <c r="A197" s="5" t="s">
        <v>404</v>
      </c>
      <c r="B197" s="6">
        <v>45856</v>
      </c>
      <c r="C197" s="5" t="s">
        <v>405</v>
      </c>
      <c r="D197" s="5" t="s">
        <v>55</v>
      </c>
      <c r="E197" s="5" t="s">
        <v>20</v>
      </c>
      <c r="F197" s="5" t="s">
        <v>15</v>
      </c>
      <c r="G197" s="5">
        <v>7</v>
      </c>
      <c r="H197" s="5">
        <v>59106</v>
      </c>
      <c r="I197" s="5">
        <v>413742</v>
      </c>
      <c r="J197" s="5" t="s">
        <v>16</v>
      </c>
      <c r="K197" s="5" t="s">
        <v>56</v>
      </c>
    </row>
    <row r="198" spans="1:11" x14ac:dyDescent="0.3">
      <c r="A198" s="3" t="s">
        <v>406</v>
      </c>
      <c r="B198" s="4">
        <v>45711</v>
      </c>
      <c r="C198" s="3" t="s">
        <v>150</v>
      </c>
      <c r="D198" s="3" t="s">
        <v>13</v>
      </c>
      <c r="E198" s="3" t="s">
        <v>30</v>
      </c>
      <c r="F198" s="3" t="s">
        <v>31</v>
      </c>
      <c r="G198" s="3">
        <v>6</v>
      </c>
      <c r="H198" s="3">
        <v>758</v>
      </c>
      <c r="I198" s="3">
        <v>4548</v>
      </c>
      <c r="J198" s="3" t="s">
        <v>16</v>
      </c>
      <c r="K198" s="3" t="s">
        <v>26</v>
      </c>
    </row>
    <row r="199" spans="1:11" x14ac:dyDescent="0.3">
      <c r="A199" s="5" t="s">
        <v>407</v>
      </c>
      <c r="B199" s="6">
        <v>45747</v>
      </c>
      <c r="C199" s="5" t="s">
        <v>172</v>
      </c>
      <c r="D199" s="5" t="s">
        <v>55</v>
      </c>
      <c r="E199" s="5" t="s">
        <v>108</v>
      </c>
      <c r="F199" s="5" t="s">
        <v>49</v>
      </c>
      <c r="G199" s="5">
        <v>6</v>
      </c>
      <c r="H199" s="5">
        <v>7064</v>
      </c>
      <c r="I199" s="5">
        <v>42384</v>
      </c>
      <c r="J199" s="5" t="s">
        <v>16</v>
      </c>
      <c r="K199" s="5" t="s">
        <v>26</v>
      </c>
    </row>
    <row r="200" spans="1:11" x14ac:dyDescent="0.3">
      <c r="A200" s="3" t="s">
        <v>408</v>
      </c>
      <c r="B200" s="4">
        <v>45676</v>
      </c>
      <c r="C200" s="3" t="s">
        <v>409</v>
      </c>
      <c r="D200" s="3" t="s">
        <v>29</v>
      </c>
      <c r="E200" s="3" t="s">
        <v>108</v>
      </c>
      <c r="F200" s="3" t="s">
        <v>49</v>
      </c>
      <c r="G200" s="3">
        <v>2</v>
      </c>
      <c r="H200" s="3">
        <v>7302</v>
      </c>
      <c r="I200" s="3">
        <v>14604</v>
      </c>
      <c r="J200" s="3" t="s">
        <v>128</v>
      </c>
      <c r="K200" s="3" t="s">
        <v>21</v>
      </c>
    </row>
    <row r="201" spans="1:11" x14ac:dyDescent="0.3">
      <c r="A201" s="5" t="s">
        <v>410</v>
      </c>
      <c r="B201" s="6">
        <v>45936</v>
      </c>
      <c r="C201" s="5" t="s">
        <v>332</v>
      </c>
      <c r="D201" s="5" t="s">
        <v>59</v>
      </c>
      <c r="E201" s="5" t="s">
        <v>108</v>
      </c>
      <c r="F201" s="5" t="s">
        <v>49</v>
      </c>
      <c r="G201" s="5">
        <v>6</v>
      </c>
      <c r="H201" s="5">
        <v>7606</v>
      </c>
      <c r="I201" s="5">
        <v>45636</v>
      </c>
      <c r="J201" s="5" t="s">
        <v>16</v>
      </c>
      <c r="K201" s="5" t="s">
        <v>56</v>
      </c>
    </row>
    <row r="202" spans="1:11" x14ac:dyDescent="0.3">
      <c r="A202" s="3" t="s">
        <v>411</v>
      </c>
      <c r="B202" s="4">
        <v>45993</v>
      </c>
      <c r="C202" s="3" t="s">
        <v>181</v>
      </c>
      <c r="D202" s="3" t="s">
        <v>59</v>
      </c>
      <c r="E202" s="3" t="s">
        <v>113</v>
      </c>
      <c r="F202" s="3" t="s">
        <v>49</v>
      </c>
      <c r="G202" s="3">
        <v>6</v>
      </c>
      <c r="H202" s="3">
        <v>12869</v>
      </c>
      <c r="I202" s="3">
        <v>77214</v>
      </c>
      <c r="J202" s="3" t="s">
        <v>16</v>
      </c>
      <c r="K202" s="3" t="s">
        <v>56</v>
      </c>
    </row>
    <row r="203" spans="1:11" x14ac:dyDescent="0.3">
      <c r="A203" s="5" t="s">
        <v>412</v>
      </c>
      <c r="B203" s="6">
        <v>45855</v>
      </c>
      <c r="C203" s="5" t="s">
        <v>361</v>
      </c>
      <c r="D203" s="5" t="s">
        <v>59</v>
      </c>
      <c r="E203" s="5" t="s">
        <v>45</v>
      </c>
      <c r="F203" s="5" t="s">
        <v>31</v>
      </c>
      <c r="G203" s="5">
        <v>7</v>
      </c>
      <c r="H203" s="5">
        <v>1887</v>
      </c>
      <c r="I203" s="5">
        <v>13209</v>
      </c>
      <c r="J203" s="5" t="s">
        <v>16</v>
      </c>
      <c r="K203" s="5" t="s">
        <v>81</v>
      </c>
    </row>
    <row r="204" spans="1:11" x14ac:dyDescent="0.3">
      <c r="A204" s="3" t="s">
        <v>413</v>
      </c>
      <c r="B204" s="4">
        <v>45875</v>
      </c>
      <c r="C204" s="3" t="s">
        <v>414</v>
      </c>
      <c r="D204" s="3" t="s">
        <v>29</v>
      </c>
      <c r="E204" s="3" t="s">
        <v>98</v>
      </c>
      <c r="F204" s="3" t="s">
        <v>68</v>
      </c>
      <c r="G204" s="3">
        <v>9</v>
      </c>
      <c r="H204" s="3">
        <v>1716</v>
      </c>
      <c r="I204" s="3">
        <v>15444</v>
      </c>
      <c r="J204" s="3" t="s">
        <v>16</v>
      </c>
      <c r="K204" s="3" t="s">
        <v>99</v>
      </c>
    </row>
    <row r="205" spans="1:11" x14ac:dyDescent="0.3">
      <c r="A205" s="5" t="s">
        <v>415</v>
      </c>
      <c r="B205" s="6">
        <v>45996</v>
      </c>
      <c r="C205" s="5" t="s">
        <v>158</v>
      </c>
      <c r="D205" s="5" t="s">
        <v>13</v>
      </c>
      <c r="E205" s="5" t="s">
        <v>48</v>
      </c>
      <c r="F205" s="5" t="s">
        <v>49</v>
      </c>
      <c r="G205" s="5">
        <v>5</v>
      </c>
      <c r="H205" s="5">
        <v>8678</v>
      </c>
      <c r="I205" s="5">
        <v>43390</v>
      </c>
      <c r="J205" s="5" t="s">
        <v>16</v>
      </c>
      <c r="K205" s="5" t="s">
        <v>56</v>
      </c>
    </row>
    <row r="206" spans="1:11" x14ac:dyDescent="0.3">
      <c r="A206" s="3" t="s">
        <v>416</v>
      </c>
      <c r="B206" s="4">
        <v>45838</v>
      </c>
      <c r="C206" s="3" t="s">
        <v>417</v>
      </c>
      <c r="D206" s="3" t="s">
        <v>29</v>
      </c>
      <c r="E206" s="3" t="s">
        <v>73</v>
      </c>
      <c r="F206" s="3" t="s">
        <v>68</v>
      </c>
      <c r="G206" s="3">
        <v>8</v>
      </c>
      <c r="H206" s="3">
        <v>1164</v>
      </c>
      <c r="I206" s="3">
        <v>9312</v>
      </c>
      <c r="J206" s="3" t="s">
        <v>16</v>
      </c>
      <c r="K206" s="3" t="s">
        <v>99</v>
      </c>
    </row>
    <row r="207" spans="1:11" x14ac:dyDescent="0.3">
      <c r="A207" s="5" t="s">
        <v>418</v>
      </c>
      <c r="B207" s="6">
        <v>46005</v>
      </c>
      <c r="C207" s="5" t="s">
        <v>23</v>
      </c>
      <c r="D207" s="5" t="s">
        <v>59</v>
      </c>
      <c r="E207" s="5" t="s">
        <v>20</v>
      </c>
      <c r="F207" s="5" t="s">
        <v>15</v>
      </c>
      <c r="G207" s="5">
        <v>7</v>
      </c>
      <c r="H207" s="5">
        <v>53496</v>
      </c>
      <c r="I207" s="5">
        <v>374472</v>
      </c>
      <c r="J207" s="5" t="s">
        <v>16</v>
      </c>
      <c r="K207" s="5" t="s">
        <v>39</v>
      </c>
    </row>
    <row r="208" spans="1:11" x14ac:dyDescent="0.3">
      <c r="A208" s="3" t="s">
        <v>419</v>
      </c>
      <c r="B208" s="4">
        <v>45988</v>
      </c>
      <c r="C208" s="3" t="s">
        <v>420</v>
      </c>
      <c r="D208" s="3" t="s">
        <v>59</v>
      </c>
      <c r="E208" s="3" t="s">
        <v>60</v>
      </c>
      <c r="F208" s="3" t="s">
        <v>25</v>
      </c>
      <c r="G208" s="3">
        <v>8</v>
      </c>
      <c r="H208" s="3">
        <v>1360</v>
      </c>
      <c r="I208" s="3">
        <v>10880</v>
      </c>
      <c r="J208" s="3" t="s">
        <v>16</v>
      </c>
      <c r="K208" s="3" t="s">
        <v>61</v>
      </c>
    </row>
    <row r="209" spans="1:11" x14ac:dyDescent="0.3">
      <c r="A209" s="5" t="s">
        <v>421</v>
      </c>
      <c r="B209" s="6">
        <v>45847</v>
      </c>
      <c r="C209" s="5" t="s">
        <v>391</v>
      </c>
      <c r="D209" s="5" t="s">
        <v>29</v>
      </c>
      <c r="E209" s="5" t="s">
        <v>80</v>
      </c>
      <c r="F209" s="5" t="s">
        <v>25</v>
      </c>
      <c r="G209" s="5">
        <v>10</v>
      </c>
      <c r="H209" s="5">
        <v>2326</v>
      </c>
      <c r="I209" s="5">
        <v>23260</v>
      </c>
      <c r="J209" s="5" t="s">
        <v>16</v>
      </c>
      <c r="K209" s="5" t="s">
        <v>95</v>
      </c>
    </row>
    <row r="210" spans="1:11" x14ac:dyDescent="0.3">
      <c r="A210" s="3" t="s">
        <v>422</v>
      </c>
      <c r="B210" s="4">
        <v>45800</v>
      </c>
      <c r="C210" s="3" t="s">
        <v>101</v>
      </c>
      <c r="D210" s="3" t="s">
        <v>55</v>
      </c>
      <c r="E210" s="3" t="s">
        <v>80</v>
      </c>
      <c r="F210" s="3" t="s">
        <v>25</v>
      </c>
      <c r="G210" s="3">
        <v>9</v>
      </c>
      <c r="H210" s="3">
        <v>2433</v>
      </c>
      <c r="I210" s="3">
        <v>21897</v>
      </c>
      <c r="J210" s="3" t="s">
        <v>16</v>
      </c>
      <c r="K210" s="3" t="s">
        <v>17</v>
      </c>
    </row>
    <row r="211" spans="1:11" x14ac:dyDescent="0.3">
      <c r="A211" s="5" t="s">
        <v>423</v>
      </c>
      <c r="B211" s="6">
        <v>45792</v>
      </c>
      <c r="C211" s="5" t="s">
        <v>120</v>
      </c>
      <c r="D211" s="5" t="s">
        <v>59</v>
      </c>
      <c r="E211" s="5" t="s">
        <v>113</v>
      </c>
      <c r="F211" s="5" t="s">
        <v>49</v>
      </c>
      <c r="G211" s="5">
        <v>9</v>
      </c>
      <c r="H211" s="5">
        <v>11728</v>
      </c>
      <c r="I211" s="5">
        <v>105552</v>
      </c>
      <c r="J211" s="5" t="s">
        <v>16</v>
      </c>
      <c r="K211" s="5" t="s">
        <v>26</v>
      </c>
    </row>
    <row r="212" spans="1:11" x14ac:dyDescent="0.3">
      <c r="A212" s="3" t="s">
        <v>424</v>
      </c>
      <c r="B212" s="4">
        <v>45695</v>
      </c>
      <c r="C212" s="3" t="s">
        <v>425</v>
      </c>
      <c r="D212" s="3" t="s">
        <v>29</v>
      </c>
      <c r="E212" s="3" t="s">
        <v>24</v>
      </c>
      <c r="F212" s="3" t="s">
        <v>25</v>
      </c>
      <c r="G212" s="3">
        <v>8</v>
      </c>
      <c r="H212" s="3">
        <v>1128</v>
      </c>
      <c r="I212" s="3">
        <v>9024</v>
      </c>
      <c r="J212" s="3" t="s">
        <v>16</v>
      </c>
      <c r="K212" s="3" t="s">
        <v>81</v>
      </c>
    </row>
    <row r="213" spans="1:11" x14ac:dyDescent="0.3">
      <c r="A213" s="5" t="s">
        <v>426</v>
      </c>
      <c r="B213" s="6">
        <v>45939</v>
      </c>
      <c r="C213" s="5" t="s">
        <v>275</v>
      </c>
      <c r="D213" s="5" t="s">
        <v>55</v>
      </c>
      <c r="E213" s="5" t="s">
        <v>73</v>
      </c>
      <c r="F213" s="5" t="s">
        <v>68</v>
      </c>
      <c r="G213" s="5">
        <v>6</v>
      </c>
      <c r="H213" s="5">
        <v>1240</v>
      </c>
      <c r="I213" s="5">
        <v>7440</v>
      </c>
      <c r="J213" s="5" t="s">
        <v>16</v>
      </c>
      <c r="K213" s="5" t="s">
        <v>56</v>
      </c>
    </row>
    <row r="214" spans="1:11" x14ac:dyDescent="0.3">
      <c r="A214" s="3" t="s">
        <v>427</v>
      </c>
      <c r="B214" s="4">
        <v>45720</v>
      </c>
      <c r="C214" s="3" t="s">
        <v>428</v>
      </c>
      <c r="D214" s="3" t="s">
        <v>55</v>
      </c>
      <c r="E214" s="3" t="s">
        <v>48</v>
      </c>
      <c r="F214" s="3" t="s">
        <v>49</v>
      </c>
      <c r="G214" s="3">
        <v>3</v>
      </c>
      <c r="H214" s="3">
        <v>9528</v>
      </c>
      <c r="I214" s="3">
        <v>28584</v>
      </c>
      <c r="J214" s="3" t="s">
        <v>16</v>
      </c>
      <c r="K214" s="3" t="s">
        <v>84</v>
      </c>
    </row>
    <row r="215" spans="1:11" x14ac:dyDescent="0.3">
      <c r="A215" s="5" t="s">
        <v>429</v>
      </c>
      <c r="B215" s="6">
        <v>45940</v>
      </c>
      <c r="C215" s="5" t="s">
        <v>430</v>
      </c>
      <c r="D215" s="5" t="s">
        <v>59</v>
      </c>
      <c r="E215" s="5" t="s">
        <v>73</v>
      </c>
      <c r="F215" s="5" t="s">
        <v>68</v>
      </c>
      <c r="G215" s="5">
        <v>6</v>
      </c>
      <c r="H215" s="5">
        <v>1212</v>
      </c>
      <c r="I215" s="5">
        <v>7272</v>
      </c>
      <c r="J215" s="5" t="s">
        <v>16</v>
      </c>
      <c r="K215" s="5" t="s">
        <v>89</v>
      </c>
    </row>
    <row r="216" spans="1:11" x14ac:dyDescent="0.3">
      <c r="A216" s="3" t="s">
        <v>431</v>
      </c>
      <c r="B216" s="4">
        <v>45927</v>
      </c>
      <c r="C216" s="3" t="s">
        <v>432</v>
      </c>
      <c r="D216" s="3" t="s">
        <v>55</v>
      </c>
      <c r="E216" s="3" t="s">
        <v>14</v>
      </c>
      <c r="F216" s="3" t="s">
        <v>15</v>
      </c>
      <c r="G216" s="3">
        <v>7</v>
      </c>
      <c r="H216" s="3">
        <v>3299</v>
      </c>
      <c r="I216" s="3">
        <v>23093</v>
      </c>
      <c r="J216" s="3" t="s">
        <v>16</v>
      </c>
      <c r="K216" s="3" t="s">
        <v>84</v>
      </c>
    </row>
    <row r="217" spans="1:11" x14ac:dyDescent="0.3">
      <c r="A217" s="5" t="s">
        <v>433</v>
      </c>
      <c r="B217" s="6">
        <v>45888</v>
      </c>
      <c r="C217" s="5" t="s">
        <v>434</v>
      </c>
      <c r="D217" s="5" t="s">
        <v>29</v>
      </c>
      <c r="E217" s="5" t="s">
        <v>80</v>
      </c>
      <c r="F217" s="5" t="s">
        <v>25</v>
      </c>
      <c r="G217" s="5">
        <v>3</v>
      </c>
      <c r="H217" s="5">
        <v>2736</v>
      </c>
      <c r="I217" s="5">
        <v>8208</v>
      </c>
      <c r="J217" s="5" t="s">
        <v>16</v>
      </c>
      <c r="K217" s="5" t="s">
        <v>64</v>
      </c>
    </row>
    <row r="218" spans="1:11" x14ac:dyDescent="0.3">
      <c r="A218" s="3" t="s">
        <v>435</v>
      </c>
      <c r="B218" s="4">
        <v>45879</v>
      </c>
      <c r="C218" s="3" t="s">
        <v>436</v>
      </c>
      <c r="D218" s="3" t="s">
        <v>29</v>
      </c>
      <c r="E218" s="3" t="s">
        <v>48</v>
      </c>
      <c r="F218" s="3" t="s">
        <v>49</v>
      </c>
      <c r="G218" s="3">
        <v>10</v>
      </c>
      <c r="H218" s="3">
        <v>8427</v>
      </c>
      <c r="I218" s="3">
        <v>84270</v>
      </c>
      <c r="J218" s="3" t="s">
        <v>128</v>
      </c>
      <c r="K218" s="3" t="s">
        <v>36</v>
      </c>
    </row>
    <row r="219" spans="1:11" x14ac:dyDescent="0.3">
      <c r="A219" s="5" t="s">
        <v>437</v>
      </c>
      <c r="B219" s="6">
        <v>46021</v>
      </c>
      <c r="C219" s="5" t="s">
        <v>438</v>
      </c>
      <c r="D219" s="5" t="s">
        <v>55</v>
      </c>
      <c r="E219" s="5" t="s">
        <v>52</v>
      </c>
      <c r="F219" s="5" t="s">
        <v>15</v>
      </c>
      <c r="G219" s="5">
        <v>5</v>
      </c>
      <c r="H219" s="5">
        <v>23323</v>
      </c>
      <c r="I219" s="5">
        <v>116615</v>
      </c>
      <c r="J219" s="5" t="s">
        <v>16</v>
      </c>
      <c r="K219" s="5" t="s">
        <v>61</v>
      </c>
    </row>
    <row r="220" spans="1:11" x14ac:dyDescent="0.3">
      <c r="A220" s="3" t="s">
        <v>439</v>
      </c>
      <c r="B220" s="4">
        <v>45940</v>
      </c>
      <c r="C220" s="3" t="s">
        <v>440</v>
      </c>
      <c r="D220" s="3" t="s">
        <v>55</v>
      </c>
      <c r="E220" s="3" t="s">
        <v>24</v>
      </c>
      <c r="F220" s="3" t="s">
        <v>25</v>
      </c>
      <c r="G220" s="3">
        <v>2</v>
      </c>
      <c r="H220" s="3">
        <v>1140</v>
      </c>
      <c r="I220" s="3">
        <v>2280</v>
      </c>
      <c r="J220" s="3" t="s">
        <v>16</v>
      </c>
      <c r="K220" s="3" t="s">
        <v>81</v>
      </c>
    </row>
    <row r="221" spans="1:11" x14ac:dyDescent="0.3">
      <c r="A221" s="5" t="s">
        <v>441</v>
      </c>
      <c r="B221" s="6">
        <v>45955</v>
      </c>
      <c r="C221" s="5" t="s">
        <v>63</v>
      </c>
      <c r="D221" s="5" t="s">
        <v>13</v>
      </c>
      <c r="E221" s="5" t="s">
        <v>60</v>
      </c>
      <c r="F221" s="5" t="s">
        <v>25</v>
      </c>
      <c r="G221" s="5">
        <v>2</v>
      </c>
      <c r="H221" s="5">
        <v>1500</v>
      </c>
      <c r="I221" s="5">
        <v>3000</v>
      </c>
      <c r="J221" s="5" t="s">
        <v>16</v>
      </c>
      <c r="K221" s="5" t="s">
        <v>81</v>
      </c>
    </row>
    <row r="222" spans="1:11" x14ac:dyDescent="0.3">
      <c r="A222" s="3" t="s">
        <v>442</v>
      </c>
      <c r="B222" s="4">
        <v>45699</v>
      </c>
      <c r="C222" s="3" t="s">
        <v>443</v>
      </c>
      <c r="D222" s="3" t="s">
        <v>13</v>
      </c>
      <c r="E222" s="3" t="s">
        <v>24</v>
      </c>
      <c r="F222" s="3" t="s">
        <v>25</v>
      </c>
      <c r="G222" s="3">
        <v>10</v>
      </c>
      <c r="H222" s="3">
        <v>1089</v>
      </c>
      <c r="I222" s="3">
        <v>10890</v>
      </c>
      <c r="J222" s="3" t="s">
        <v>128</v>
      </c>
      <c r="K222" s="3" t="s">
        <v>64</v>
      </c>
    </row>
    <row r="223" spans="1:11" x14ac:dyDescent="0.3">
      <c r="A223" s="5" t="s">
        <v>444</v>
      </c>
      <c r="B223" s="6">
        <v>45985</v>
      </c>
      <c r="C223" s="5" t="s">
        <v>445</v>
      </c>
      <c r="D223" s="5" t="s">
        <v>55</v>
      </c>
      <c r="E223" s="5" t="s">
        <v>34</v>
      </c>
      <c r="F223" s="5" t="s">
        <v>31</v>
      </c>
      <c r="G223" s="5">
        <v>4</v>
      </c>
      <c r="H223" s="5">
        <v>3686</v>
      </c>
      <c r="I223" s="5">
        <v>14744</v>
      </c>
      <c r="J223" s="5" t="s">
        <v>16</v>
      </c>
      <c r="K223" s="5" t="s">
        <v>95</v>
      </c>
    </row>
    <row r="224" spans="1:11" x14ac:dyDescent="0.3">
      <c r="A224" s="3" t="s">
        <v>446</v>
      </c>
      <c r="B224" s="4">
        <v>46008</v>
      </c>
      <c r="C224" s="3" t="s">
        <v>447</v>
      </c>
      <c r="D224" s="3" t="s">
        <v>55</v>
      </c>
      <c r="E224" s="3" t="s">
        <v>24</v>
      </c>
      <c r="F224" s="3" t="s">
        <v>25</v>
      </c>
      <c r="G224" s="3">
        <v>5</v>
      </c>
      <c r="H224" s="3">
        <v>1195</v>
      </c>
      <c r="I224" s="3">
        <v>5975</v>
      </c>
      <c r="J224" s="3" t="s">
        <v>16</v>
      </c>
      <c r="K224" s="3" t="s">
        <v>56</v>
      </c>
    </row>
    <row r="225" spans="1:11" x14ac:dyDescent="0.3">
      <c r="A225" s="5" t="s">
        <v>448</v>
      </c>
      <c r="B225" s="6">
        <v>45832</v>
      </c>
      <c r="C225" s="5" t="s">
        <v>198</v>
      </c>
      <c r="D225" s="5" t="s">
        <v>29</v>
      </c>
      <c r="E225" s="5" t="s">
        <v>52</v>
      </c>
      <c r="F225" s="5" t="s">
        <v>15</v>
      </c>
      <c r="G225" s="5">
        <v>8</v>
      </c>
      <c r="H225" s="5">
        <v>24578</v>
      </c>
      <c r="I225" s="5">
        <v>196624</v>
      </c>
      <c r="J225" s="5" t="s">
        <v>16</v>
      </c>
      <c r="K225" s="5" t="s">
        <v>81</v>
      </c>
    </row>
    <row r="226" spans="1:11" x14ac:dyDescent="0.3">
      <c r="A226" s="3" t="s">
        <v>449</v>
      </c>
      <c r="B226" s="4">
        <v>45847</v>
      </c>
      <c r="C226" s="3" t="s">
        <v>450</v>
      </c>
      <c r="D226" s="3" t="s">
        <v>59</v>
      </c>
      <c r="E226" s="3" t="s">
        <v>34</v>
      </c>
      <c r="F226" s="3" t="s">
        <v>31</v>
      </c>
      <c r="G226" s="3">
        <v>6</v>
      </c>
      <c r="H226" s="3">
        <v>3832</v>
      </c>
      <c r="I226" s="3">
        <v>22992</v>
      </c>
      <c r="J226" s="3" t="s">
        <v>16</v>
      </c>
      <c r="K226" s="3" t="s">
        <v>92</v>
      </c>
    </row>
    <row r="227" spans="1:11" x14ac:dyDescent="0.3">
      <c r="A227" s="5" t="s">
        <v>451</v>
      </c>
      <c r="B227" s="6">
        <v>45707</v>
      </c>
      <c r="C227" s="5" t="s">
        <v>290</v>
      </c>
      <c r="D227" s="5" t="s">
        <v>59</v>
      </c>
      <c r="E227" s="5" t="s">
        <v>113</v>
      </c>
      <c r="F227" s="5" t="s">
        <v>49</v>
      </c>
      <c r="G227" s="5">
        <v>2</v>
      </c>
      <c r="H227" s="5">
        <v>11441</v>
      </c>
      <c r="I227" s="5">
        <v>22882</v>
      </c>
      <c r="J227" s="5" t="s">
        <v>16</v>
      </c>
      <c r="K227" s="5" t="s">
        <v>56</v>
      </c>
    </row>
    <row r="228" spans="1:11" x14ac:dyDescent="0.3">
      <c r="A228" s="3" t="s">
        <v>452</v>
      </c>
      <c r="B228" s="4">
        <v>45825</v>
      </c>
      <c r="C228" s="3" t="s">
        <v>94</v>
      </c>
      <c r="D228" s="3" t="s">
        <v>55</v>
      </c>
      <c r="E228" s="3" t="s">
        <v>24</v>
      </c>
      <c r="F228" s="3" t="s">
        <v>25</v>
      </c>
      <c r="G228" s="3">
        <v>4</v>
      </c>
      <c r="H228" s="3">
        <v>1311</v>
      </c>
      <c r="I228" s="3">
        <v>5244</v>
      </c>
      <c r="J228" s="3" t="s">
        <v>35</v>
      </c>
      <c r="K228" s="3" t="s">
        <v>26</v>
      </c>
    </row>
    <row r="229" spans="1:11" x14ac:dyDescent="0.3">
      <c r="A229" s="5" t="s">
        <v>453</v>
      </c>
      <c r="B229" s="6">
        <v>45912</v>
      </c>
      <c r="C229" s="5" t="s">
        <v>454</v>
      </c>
      <c r="D229" s="5" t="s">
        <v>59</v>
      </c>
      <c r="E229" s="5" t="s">
        <v>113</v>
      </c>
      <c r="F229" s="5" t="s">
        <v>49</v>
      </c>
      <c r="G229" s="5">
        <v>9</v>
      </c>
      <c r="H229" s="5">
        <v>11920</v>
      </c>
      <c r="I229" s="5">
        <v>107280</v>
      </c>
      <c r="J229" s="5" t="s">
        <v>16</v>
      </c>
      <c r="K229" s="5" t="s">
        <v>17</v>
      </c>
    </row>
    <row r="230" spans="1:11" x14ac:dyDescent="0.3">
      <c r="A230" s="3" t="s">
        <v>455</v>
      </c>
      <c r="B230" s="4">
        <v>45683</v>
      </c>
      <c r="C230" s="3" t="s">
        <v>456</v>
      </c>
      <c r="D230" s="3" t="s">
        <v>55</v>
      </c>
      <c r="E230" s="3" t="s">
        <v>24</v>
      </c>
      <c r="F230" s="3" t="s">
        <v>25</v>
      </c>
      <c r="G230" s="3">
        <v>4</v>
      </c>
      <c r="H230" s="3">
        <v>1131</v>
      </c>
      <c r="I230" s="3">
        <v>4524</v>
      </c>
      <c r="J230" s="3" t="s">
        <v>16</v>
      </c>
      <c r="K230" s="3" t="s">
        <v>95</v>
      </c>
    </row>
    <row r="231" spans="1:11" x14ac:dyDescent="0.3">
      <c r="A231" s="5" t="s">
        <v>457</v>
      </c>
      <c r="B231" s="6">
        <v>45726</v>
      </c>
      <c r="C231" s="5" t="s">
        <v>458</v>
      </c>
      <c r="D231" s="5" t="s">
        <v>13</v>
      </c>
      <c r="E231" s="5" t="s">
        <v>98</v>
      </c>
      <c r="F231" s="5" t="s">
        <v>68</v>
      </c>
      <c r="G231" s="5">
        <v>9</v>
      </c>
      <c r="H231" s="5">
        <v>1622</v>
      </c>
      <c r="I231" s="5">
        <v>14598</v>
      </c>
      <c r="J231" s="5" t="s">
        <v>16</v>
      </c>
      <c r="K231" s="5" t="s">
        <v>26</v>
      </c>
    </row>
    <row r="232" spans="1:11" x14ac:dyDescent="0.3">
      <c r="A232" s="3" t="s">
        <v>459</v>
      </c>
      <c r="B232" s="4">
        <v>45757</v>
      </c>
      <c r="C232" s="3" t="s">
        <v>255</v>
      </c>
      <c r="D232" s="3" t="s">
        <v>29</v>
      </c>
      <c r="E232" s="3" t="s">
        <v>98</v>
      </c>
      <c r="F232" s="3" t="s">
        <v>68</v>
      </c>
      <c r="G232" s="3">
        <v>1</v>
      </c>
      <c r="H232" s="3">
        <v>1764</v>
      </c>
      <c r="I232" s="3">
        <v>1764</v>
      </c>
      <c r="J232" s="3" t="s">
        <v>16</v>
      </c>
      <c r="K232" s="3" t="s">
        <v>92</v>
      </c>
    </row>
    <row r="233" spans="1:11" x14ac:dyDescent="0.3">
      <c r="A233" s="5" t="s">
        <v>460</v>
      </c>
      <c r="B233" s="6">
        <v>45977</v>
      </c>
      <c r="C233" s="5" t="s">
        <v>461</v>
      </c>
      <c r="D233" s="5" t="s">
        <v>59</v>
      </c>
      <c r="E233" s="5" t="s">
        <v>67</v>
      </c>
      <c r="F233" s="5" t="s">
        <v>68</v>
      </c>
      <c r="G233" s="5">
        <v>8</v>
      </c>
      <c r="H233" s="5">
        <v>526</v>
      </c>
      <c r="I233" s="5">
        <v>4208</v>
      </c>
      <c r="J233" s="5" t="s">
        <v>16</v>
      </c>
      <c r="K233" s="5" t="s">
        <v>89</v>
      </c>
    </row>
    <row r="234" spans="1:11" x14ac:dyDescent="0.3">
      <c r="A234" s="3" t="s">
        <v>462</v>
      </c>
      <c r="B234" s="4">
        <v>45845</v>
      </c>
      <c r="C234" s="3" t="s">
        <v>54</v>
      </c>
      <c r="D234" s="3" t="s">
        <v>59</v>
      </c>
      <c r="E234" s="3" t="s">
        <v>116</v>
      </c>
      <c r="F234" s="3" t="s">
        <v>15</v>
      </c>
      <c r="G234" s="3">
        <v>6</v>
      </c>
      <c r="H234" s="3">
        <v>8471</v>
      </c>
      <c r="I234" s="3">
        <v>50826</v>
      </c>
      <c r="J234" s="3" t="s">
        <v>16</v>
      </c>
      <c r="K234" s="3" t="s">
        <v>21</v>
      </c>
    </row>
    <row r="235" spans="1:11" x14ac:dyDescent="0.3">
      <c r="A235" s="5" t="s">
        <v>463</v>
      </c>
      <c r="B235" s="6">
        <v>45828</v>
      </c>
      <c r="C235" s="5" t="s">
        <v>332</v>
      </c>
      <c r="D235" s="5" t="s">
        <v>13</v>
      </c>
      <c r="E235" s="5" t="s">
        <v>67</v>
      </c>
      <c r="F235" s="5" t="s">
        <v>68</v>
      </c>
      <c r="G235" s="5">
        <v>1</v>
      </c>
      <c r="H235" s="5">
        <v>454</v>
      </c>
      <c r="I235" s="5">
        <v>454</v>
      </c>
      <c r="J235" s="5" t="s">
        <v>16</v>
      </c>
      <c r="K235" s="5" t="s">
        <v>92</v>
      </c>
    </row>
    <row r="236" spans="1:11" x14ac:dyDescent="0.3">
      <c r="A236" s="3" t="s">
        <v>464</v>
      </c>
      <c r="B236" s="4">
        <v>45741</v>
      </c>
      <c r="C236" s="3" t="s">
        <v>465</v>
      </c>
      <c r="D236" s="3" t="s">
        <v>29</v>
      </c>
      <c r="E236" s="3" t="s">
        <v>60</v>
      </c>
      <c r="F236" s="3" t="s">
        <v>25</v>
      </c>
      <c r="G236" s="3">
        <v>3</v>
      </c>
      <c r="H236" s="3">
        <v>1448</v>
      </c>
      <c r="I236" s="3">
        <v>4344</v>
      </c>
      <c r="J236" s="3" t="s">
        <v>16</v>
      </c>
      <c r="K236" s="3" t="s">
        <v>89</v>
      </c>
    </row>
    <row r="237" spans="1:11" x14ac:dyDescent="0.3">
      <c r="A237" s="5" t="s">
        <v>466</v>
      </c>
      <c r="B237" s="6">
        <v>45908</v>
      </c>
      <c r="C237" s="5" t="s">
        <v>467</v>
      </c>
      <c r="D237" s="5" t="s">
        <v>13</v>
      </c>
      <c r="E237" s="5" t="s">
        <v>34</v>
      </c>
      <c r="F237" s="5" t="s">
        <v>31</v>
      </c>
      <c r="G237" s="5">
        <v>6</v>
      </c>
      <c r="H237" s="5">
        <v>3505</v>
      </c>
      <c r="I237" s="5">
        <v>21030</v>
      </c>
      <c r="J237" s="5" t="s">
        <v>16</v>
      </c>
      <c r="K237" s="5" t="s">
        <v>56</v>
      </c>
    </row>
    <row r="238" spans="1:11" x14ac:dyDescent="0.3">
      <c r="A238" s="3" t="s">
        <v>468</v>
      </c>
      <c r="B238" s="4">
        <v>45956</v>
      </c>
      <c r="C238" s="3" t="s">
        <v>469</v>
      </c>
      <c r="D238" s="3" t="s">
        <v>29</v>
      </c>
      <c r="E238" s="3" t="s">
        <v>14</v>
      </c>
      <c r="F238" s="3" t="s">
        <v>15</v>
      </c>
      <c r="G238" s="3">
        <v>6</v>
      </c>
      <c r="H238" s="3">
        <v>3104</v>
      </c>
      <c r="I238" s="3">
        <v>18624</v>
      </c>
      <c r="J238" s="3" t="s">
        <v>128</v>
      </c>
      <c r="K238" s="3" t="s">
        <v>84</v>
      </c>
    </row>
    <row r="239" spans="1:11" x14ac:dyDescent="0.3">
      <c r="A239" s="5" t="s">
        <v>470</v>
      </c>
      <c r="B239" s="6">
        <v>45954</v>
      </c>
      <c r="C239" s="5" t="s">
        <v>94</v>
      </c>
      <c r="D239" s="5" t="s">
        <v>55</v>
      </c>
      <c r="E239" s="5" t="s">
        <v>116</v>
      </c>
      <c r="F239" s="5" t="s">
        <v>15</v>
      </c>
      <c r="G239" s="5">
        <v>5</v>
      </c>
      <c r="H239" s="5">
        <v>8747</v>
      </c>
      <c r="I239" s="5">
        <v>43735</v>
      </c>
      <c r="J239" s="5" t="s">
        <v>16</v>
      </c>
      <c r="K239" s="5" t="s">
        <v>21</v>
      </c>
    </row>
    <row r="240" spans="1:11" x14ac:dyDescent="0.3">
      <c r="A240" s="3" t="s">
        <v>471</v>
      </c>
      <c r="B240" s="4">
        <v>45852</v>
      </c>
      <c r="C240" s="3" t="s">
        <v>137</v>
      </c>
      <c r="D240" s="3" t="s">
        <v>13</v>
      </c>
      <c r="E240" s="3" t="s">
        <v>24</v>
      </c>
      <c r="F240" s="3" t="s">
        <v>25</v>
      </c>
      <c r="G240" s="3">
        <v>3</v>
      </c>
      <c r="H240" s="3">
        <v>1205</v>
      </c>
      <c r="I240" s="3">
        <v>3615</v>
      </c>
      <c r="J240" s="3" t="s">
        <v>16</v>
      </c>
      <c r="K240" s="3" t="s">
        <v>42</v>
      </c>
    </row>
    <row r="241" spans="1:11" x14ac:dyDescent="0.3">
      <c r="A241" s="5" t="s">
        <v>472</v>
      </c>
      <c r="B241" s="6">
        <v>45735</v>
      </c>
      <c r="C241" s="5" t="s">
        <v>473</v>
      </c>
      <c r="D241" s="5" t="s">
        <v>13</v>
      </c>
      <c r="E241" s="5" t="s">
        <v>20</v>
      </c>
      <c r="F241" s="5" t="s">
        <v>15</v>
      </c>
      <c r="G241" s="5">
        <v>4</v>
      </c>
      <c r="H241" s="5">
        <v>49708</v>
      </c>
      <c r="I241" s="5">
        <v>198832</v>
      </c>
      <c r="J241" s="5" t="s">
        <v>16</v>
      </c>
      <c r="K241" s="5" t="s">
        <v>26</v>
      </c>
    </row>
    <row r="242" spans="1:11" x14ac:dyDescent="0.3">
      <c r="A242" s="3" t="s">
        <v>474</v>
      </c>
      <c r="B242" s="4">
        <v>45689</v>
      </c>
      <c r="C242" s="3" t="s">
        <v>383</v>
      </c>
      <c r="D242" s="3" t="s">
        <v>59</v>
      </c>
      <c r="E242" s="3" t="s">
        <v>60</v>
      </c>
      <c r="F242" s="3" t="s">
        <v>25</v>
      </c>
      <c r="G242" s="3">
        <v>8</v>
      </c>
      <c r="H242" s="3">
        <v>1611</v>
      </c>
      <c r="I242" s="3">
        <v>12888</v>
      </c>
      <c r="J242" s="3" t="s">
        <v>16</v>
      </c>
      <c r="K242" s="3" t="s">
        <v>92</v>
      </c>
    </row>
    <row r="243" spans="1:11" x14ac:dyDescent="0.3">
      <c r="A243" s="5" t="s">
        <v>475</v>
      </c>
      <c r="B243" s="6">
        <v>45746</v>
      </c>
      <c r="C243" s="5" t="s">
        <v>355</v>
      </c>
      <c r="D243" s="5" t="s">
        <v>59</v>
      </c>
      <c r="E243" s="5" t="s">
        <v>34</v>
      </c>
      <c r="F243" s="5" t="s">
        <v>31</v>
      </c>
      <c r="G243" s="5">
        <v>8</v>
      </c>
      <c r="H243" s="5">
        <v>3517</v>
      </c>
      <c r="I243" s="5">
        <v>28136</v>
      </c>
      <c r="J243" s="5" t="s">
        <v>16</v>
      </c>
      <c r="K243" s="5" t="s">
        <v>36</v>
      </c>
    </row>
    <row r="244" spans="1:11" x14ac:dyDescent="0.3">
      <c r="A244" s="3" t="s">
        <v>476</v>
      </c>
      <c r="B244" s="4">
        <v>45784</v>
      </c>
      <c r="C244" s="3" t="s">
        <v>193</v>
      </c>
      <c r="D244" s="3" t="s">
        <v>29</v>
      </c>
      <c r="E244" s="3" t="s">
        <v>24</v>
      </c>
      <c r="F244" s="3" t="s">
        <v>25</v>
      </c>
      <c r="G244" s="3">
        <v>5</v>
      </c>
      <c r="H244" s="3">
        <v>1226</v>
      </c>
      <c r="I244" s="3">
        <v>6130</v>
      </c>
      <c r="J244" s="3" t="s">
        <v>16</v>
      </c>
      <c r="K244" s="3" t="s">
        <v>92</v>
      </c>
    </row>
    <row r="245" spans="1:11" x14ac:dyDescent="0.3">
      <c r="A245" s="5" t="s">
        <v>477</v>
      </c>
      <c r="B245" s="6">
        <v>45903</v>
      </c>
      <c r="C245" s="5" t="s">
        <v>363</v>
      </c>
      <c r="D245" s="5" t="s">
        <v>59</v>
      </c>
      <c r="E245" s="5" t="s">
        <v>45</v>
      </c>
      <c r="F245" s="5" t="s">
        <v>31</v>
      </c>
      <c r="G245" s="5">
        <v>4</v>
      </c>
      <c r="H245" s="5">
        <v>1868</v>
      </c>
      <c r="I245" s="5">
        <v>7472</v>
      </c>
      <c r="J245" s="5" t="s">
        <v>16</v>
      </c>
      <c r="K245" s="5" t="s">
        <v>92</v>
      </c>
    </row>
    <row r="246" spans="1:11" x14ac:dyDescent="0.3">
      <c r="A246" s="3" t="s">
        <v>478</v>
      </c>
      <c r="B246" s="4">
        <v>45860</v>
      </c>
      <c r="C246" s="3" t="s">
        <v>479</v>
      </c>
      <c r="D246" s="3" t="s">
        <v>55</v>
      </c>
      <c r="E246" s="3" t="s">
        <v>45</v>
      </c>
      <c r="F246" s="3" t="s">
        <v>31</v>
      </c>
      <c r="G246" s="3">
        <v>2</v>
      </c>
      <c r="H246" s="3">
        <v>1826</v>
      </c>
      <c r="I246" s="3">
        <v>3652</v>
      </c>
      <c r="J246" s="3" t="s">
        <v>16</v>
      </c>
      <c r="K246" s="3" t="s">
        <v>84</v>
      </c>
    </row>
    <row r="247" spans="1:11" x14ac:dyDescent="0.3">
      <c r="A247" s="5" t="s">
        <v>480</v>
      </c>
      <c r="B247" s="6">
        <v>45884</v>
      </c>
      <c r="C247" s="5" t="s">
        <v>162</v>
      </c>
      <c r="D247" s="5" t="s">
        <v>55</v>
      </c>
      <c r="E247" s="5" t="s">
        <v>30</v>
      </c>
      <c r="F247" s="5" t="s">
        <v>31</v>
      </c>
      <c r="G247" s="5">
        <v>5</v>
      </c>
      <c r="H247" s="5">
        <v>872</v>
      </c>
      <c r="I247" s="5">
        <v>4360</v>
      </c>
      <c r="J247" s="5" t="s">
        <v>16</v>
      </c>
      <c r="K247" s="5" t="s">
        <v>56</v>
      </c>
    </row>
    <row r="248" spans="1:11" x14ac:dyDescent="0.3">
      <c r="A248" s="3" t="s">
        <v>481</v>
      </c>
      <c r="B248" s="4">
        <v>45797</v>
      </c>
      <c r="C248" s="3" t="s">
        <v>383</v>
      </c>
      <c r="D248" s="3" t="s">
        <v>13</v>
      </c>
      <c r="E248" s="3" t="s">
        <v>108</v>
      </c>
      <c r="F248" s="3" t="s">
        <v>49</v>
      </c>
      <c r="G248" s="3">
        <v>9</v>
      </c>
      <c r="H248" s="3">
        <v>6679</v>
      </c>
      <c r="I248" s="3">
        <v>60111</v>
      </c>
      <c r="J248" s="3" t="s">
        <v>16</v>
      </c>
      <c r="K248" s="3" t="s">
        <v>17</v>
      </c>
    </row>
    <row r="249" spans="1:11" x14ac:dyDescent="0.3">
      <c r="A249" s="5" t="s">
        <v>482</v>
      </c>
      <c r="B249" s="6">
        <v>45773</v>
      </c>
      <c r="C249" s="5" t="s">
        <v>226</v>
      </c>
      <c r="D249" s="5" t="s">
        <v>13</v>
      </c>
      <c r="E249" s="5" t="s">
        <v>80</v>
      </c>
      <c r="F249" s="5" t="s">
        <v>25</v>
      </c>
      <c r="G249" s="5">
        <v>4</v>
      </c>
      <c r="H249" s="5">
        <v>2275</v>
      </c>
      <c r="I249" s="5">
        <v>9100</v>
      </c>
      <c r="J249" s="5" t="s">
        <v>128</v>
      </c>
      <c r="K249" s="5" t="s">
        <v>21</v>
      </c>
    </row>
    <row r="250" spans="1:11" x14ac:dyDescent="0.3">
      <c r="A250" s="3" t="s">
        <v>483</v>
      </c>
      <c r="B250" s="4">
        <v>45660</v>
      </c>
      <c r="C250" s="3" t="s">
        <v>484</v>
      </c>
      <c r="D250" s="3" t="s">
        <v>59</v>
      </c>
      <c r="E250" s="3" t="s">
        <v>98</v>
      </c>
      <c r="F250" s="3" t="s">
        <v>68</v>
      </c>
      <c r="G250" s="3">
        <v>8</v>
      </c>
      <c r="H250" s="3">
        <v>1656</v>
      </c>
      <c r="I250" s="3">
        <v>13248</v>
      </c>
      <c r="J250" s="3" t="s">
        <v>16</v>
      </c>
      <c r="K250" s="3" t="s">
        <v>36</v>
      </c>
    </row>
    <row r="251" spans="1:11" x14ac:dyDescent="0.3">
      <c r="A251" s="5" t="s">
        <v>485</v>
      </c>
      <c r="B251" s="6">
        <v>45804</v>
      </c>
      <c r="C251" s="5" t="s">
        <v>486</v>
      </c>
      <c r="D251" s="5" t="s">
        <v>59</v>
      </c>
      <c r="E251" s="5" t="s">
        <v>98</v>
      </c>
      <c r="F251" s="5" t="s">
        <v>68</v>
      </c>
      <c r="G251" s="5">
        <v>4</v>
      </c>
      <c r="H251" s="5">
        <v>1892</v>
      </c>
      <c r="I251" s="5">
        <v>7568</v>
      </c>
      <c r="J251" s="5" t="s">
        <v>16</v>
      </c>
      <c r="K251" s="5" t="s">
        <v>39</v>
      </c>
    </row>
    <row r="252" spans="1:11" x14ac:dyDescent="0.3">
      <c r="A252" s="3" t="s">
        <v>487</v>
      </c>
      <c r="B252" s="4">
        <v>45677</v>
      </c>
      <c r="C252" s="3" t="s">
        <v>488</v>
      </c>
      <c r="D252" s="3" t="s">
        <v>55</v>
      </c>
      <c r="E252" s="3" t="s">
        <v>52</v>
      </c>
      <c r="F252" s="3" t="s">
        <v>15</v>
      </c>
      <c r="G252" s="3">
        <v>9</v>
      </c>
      <c r="H252" s="3">
        <v>26193</v>
      </c>
      <c r="I252" s="3">
        <v>235737</v>
      </c>
      <c r="J252" s="3" t="s">
        <v>16</v>
      </c>
      <c r="K252" s="3" t="s">
        <v>99</v>
      </c>
    </row>
    <row r="253" spans="1:11" x14ac:dyDescent="0.3">
      <c r="A253" s="5" t="s">
        <v>489</v>
      </c>
      <c r="B253" s="6">
        <v>45806</v>
      </c>
      <c r="C253" s="5" t="s">
        <v>490</v>
      </c>
      <c r="D253" s="5" t="s">
        <v>55</v>
      </c>
      <c r="E253" s="5" t="s">
        <v>108</v>
      </c>
      <c r="F253" s="5" t="s">
        <v>49</v>
      </c>
      <c r="G253" s="5">
        <v>7</v>
      </c>
      <c r="H253" s="5">
        <v>7403</v>
      </c>
      <c r="I253" s="5">
        <v>51821</v>
      </c>
      <c r="J253" s="5" t="s">
        <v>16</v>
      </c>
      <c r="K253" s="5" t="s">
        <v>39</v>
      </c>
    </row>
    <row r="254" spans="1:11" x14ac:dyDescent="0.3">
      <c r="A254" s="3" t="s">
        <v>491</v>
      </c>
      <c r="B254" s="4">
        <v>45936</v>
      </c>
      <c r="C254" s="3" t="s">
        <v>492</v>
      </c>
      <c r="D254" s="3" t="s">
        <v>59</v>
      </c>
      <c r="E254" s="3" t="s">
        <v>80</v>
      </c>
      <c r="F254" s="3" t="s">
        <v>25</v>
      </c>
      <c r="G254" s="3">
        <v>6</v>
      </c>
      <c r="H254" s="3">
        <v>2392</v>
      </c>
      <c r="I254" s="3">
        <v>14352</v>
      </c>
      <c r="J254" s="3" t="s">
        <v>128</v>
      </c>
      <c r="K254" s="3" t="s">
        <v>95</v>
      </c>
    </row>
    <row r="255" spans="1:11" x14ac:dyDescent="0.3">
      <c r="A255" s="5" t="s">
        <v>493</v>
      </c>
      <c r="B255" s="6">
        <v>45827</v>
      </c>
      <c r="C255" s="5" t="s">
        <v>141</v>
      </c>
      <c r="D255" s="5" t="s">
        <v>55</v>
      </c>
      <c r="E255" s="5" t="s">
        <v>48</v>
      </c>
      <c r="F255" s="5" t="s">
        <v>49</v>
      </c>
      <c r="G255" s="5">
        <v>8</v>
      </c>
      <c r="H255" s="5">
        <v>8591</v>
      </c>
      <c r="I255" s="5">
        <v>68728</v>
      </c>
      <c r="J255" s="5" t="s">
        <v>16</v>
      </c>
      <c r="K255" s="5" t="s">
        <v>26</v>
      </c>
    </row>
    <row r="256" spans="1:11" x14ac:dyDescent="0.3">
      <c r="A256" s="3" t="s">
        <v>494</v>
      </c>
      <c r="B256" s="4">
        <v>45809</v>
      </c>
      <c r="C256" s="3" t="s">
        <v>344</v>
      </c>
      <c r="D256" s="3" t="s">
        <v>29</v>
      </c>
      <c r="E256" s="3" t="s">
        <v>34</v>
      </c>
      <c r="F256" s="3" t="s">
        <v>31</v>
      </c>
      <c r="G256" s="3">
        <v>3</v>
      </c>
      <c r="H256" s="3">
        <v>3159</v>
      </c>
      <c r="I256" s="3">
        <v>9477</v>
      </c>
      <c r="J256" s="3" t="s">
        <v>16</v>
      </c>
      <c r="K256" s="3" t="s">
        <v>64</v>
      </c>
    </row>
    <row r="257" spans="1:11" x14ac:dyDescent="0.3">
      <c r="A257" s="5" t="s">
        <v>495</v>
      </c>
      <c r="B257" s="6">
        <v>45702</v>
      </c>
      <c r="C257" s="5" t="s">
        <v>496</v>
      </c>
      <c r="D257" s="5" t="s">
        <v>55</v>
      </c>
      <c r="E257" s="5" t="s">
        <v>48</v>
      </c>
      <c r="F257" s="5" t="s">
        <v>49</v>
      </c>
      <c r="G257" s="5">
        <v>7</v>
      </c>
      <c r="H257" s="5">
        <v>9588</v>
      </c>
      <c r="I257" s="5">
        <v>67116</v>
      </c>
      <c r="J257" s="5" t="s">
        <v>16</v>
      </c>
      <c r="K257" s="5" t="s">
        <v>64</v>
      </c>
    </row>
    <row r="258" spans="1:11" x14ac:dyDescent="0.3">
      <c r="A258" s="3" t="s">
        <v>497</v>
      </c>
      <c r="B258" s="4">
        <v>45854</v>
      </c>
      <c r="C258" s="3" t="s">
        <v>498</v>
      </c>
      <c r="D258" s="3" t="s">
        <v>59</v>
      </c>
      <c r="E258" s="3" t="s">
        <v>113</v>
      </c>
      <c r="F258" s="3" t="s">
        <v>49</v>
      </c>
      <c r="G258" s="3">
        <v>6</v>
      </c>
      <c r="H258" s="3">
        <v>13045</v>
      </c>
      <c r="I258" s="3">
        <v>78270</v>
      </c>
      <c r="J258" s="3" t="s">
        <v>16</v>
      </c>
      <c r="K258" s="3" t="s">
        <v>95</v>
      </c>
    </row>
    <row r="259" spans="1:11" x14ac:dyDescent="0.3">
      <c r="A259" s="5" t="s">
        <v>499</v>
      </c>
      <c r="B259" s="6">
        <v>45992</v>
      </c>
      <c r="C259" s="5" t="s">
        <v>500</v>
      </c>
      <c r="D259" s="5" t="s">
        <v>55</v>
      </c>
      <c r="E259" s="5" t="s">
        <v>45</v>
      </c>
      <c r="F259" s="5" t="s">
        <v>31</v>
      </c>
      <c r="G259" s="5">
        <v>10</v>
      </c>
      <c r="H259" s="5">
        <v>1880</v>
      </c>
      <c r="I259" s="5">
        <v>18800</v>
      </c>
      <c r="J259" s="5" t="s">
        <v>16</v>
      </c>
      <c r="K259" s="5" t="s">
        <v>26</v>
      </c>
    </row>
    <row r="260" spans="1:11" x14ac:dyDescent="0.3">
      <c r="A260" s="3" t="s">
        <v>501</v>
      </c>
      <c r="B260" s="4">
        <v>46018</v>
      </c>
      <c r="C260" s="3" t="s">
        <v>502</v>
      </c>
      <c r="D260" s="3" t="s">
        <v>59</v>
      </c>
      <c r="E260" s="3" t="s">
        <v>116</v>
      </c>
      <c r="F260" s="3" t="s">
        <v>15</v>
      </c>
      <c r="G260" s="3">
        <v>5</v>
      </c>
      <c r="H260" s="3">
        <v>7455</v>
      </c>
      <c r="I260" s="3">
        <v>37275</v>
      </c>
      <c r="J260" s="3" t="s">
        <v>16</v>
      </c>
      <c r="K260" s="3" t="s">
        <v>26</v>
      </c>
    </row>
    <row r="261" spans="1:11" x14ac:dyDescent="0.3">
      <c r="A261" s="5" t="s">
        <v>503</v>
      </c>
      <c r="B261" s="6">
        <v>45902</v>
      </c>
      <c r="C261" s="5" t="s">
        <v>63</v>
      </c>
      <c r="D261" s="5" t="s">
        <v>59</v>
      </c>
      <c r="E261" s="5" t="s">
        <v>45</v>
      </c>
      <c r="F261" s="5" t="s">
        <v>31</v>
      </c>
      <c r="G261" s="5">
        <v>10</v>
      </c>
      <c r="H261" s="5">
        <v>1699</v>
      </c>
      <c r="I261" s="5">
        <v>16990</v>
      </c>
      <c r="J261" s="5" t="s">
        <v>128</v>
      </c>
      <c r="K261" s="5" t="s">
        <v>95</v>
      </c>
    </row>
    <row r="262" spans="1:11" x14ac:dyDescent="0.3">
      <c r="A262" s="3" t="s">
        <v>504</v>
      </c>
      <c r="B262" s="4">
        <v>45933</v>
      </c>
      <c r="C262" s="3" t="s">
        <v>505</v>
      </c>
      <c r="D262" s="3" t="s">
        <v>13</v>
      </c>
      <c r="E262" s="3" t="s">
        <v>24</v>
      </c>
      <c r="F262" s="3" t="s">
        <v>25</v>
      </c>
      <c r="G262" s="3">
        <v>7</v>
      </c>
      <c r="H262" s="3">
        <v>1248</v>
      </c>
      <c r="I262" s="3">
        <v>8736</v>
      </c>
      <c r="J262" s="3" t="s">
        <v>128</v>
      </c>
      <c r="K262" s="3" t="s">
        <v>42</v>
      </c>
    </row>
    <row r="263" spans="1:11" x14ac:dyDescent="0.3">
      <c r="A263" s="5" t="s">
        <v>506</v>
      </c>
      <c r="B263" s="6">
        <v>45886</v>
      </c>
      <c r="C263" s="5" t="s">
        <v>66</v>
      </c>
      <c r="D263" s="5" t="s">
        <v>59</v>
      </c>
      <c r="E263" s="5" t="s">
        <v>48</v>
      </c>
      <c r="F263" s="5" t="s">
        <v>49</v>
      </c>
      <c r="G263" s="5">
        <v>10</v>
      </c>
      <c r="H263" s="5">
        <v>9671</v>
      </c>
      <c r="I263" s="5">
        <v>96710</v>
      </c>
      <c r="J263" s="5" t="s">
        <v>16</v>
      </c>
      <c r="K263" s="5" t="s">
        <v>26</v>
      </c>
    </row>
    <row r="264" spans="1:11" x14ac:dyDescent="0.3">
      <c r="A264" s="3" t="s">
        <v>507</v>
      </c>
      <c r="B264" s="4">
        <v>45761</v>
      </c>
      <c r="C264" s="3" t="s">
        <v>338</v>
      </c>
      <c r="D264" s="3" t="s">
        <v>29</v>
      </c>
      <c r="E264" s="3" t="s">
        <v>80</v>
      </c>
      <c r="F264" s="3" t="s">
        <v>25</v>
      </c>
      <c r="G264" s="3">
        <v>1</v>
      </c>
      <c r="H264" s="3">
        <v>2664</v>
      </c>
      <c r="I264" s="3">
        <v>2664</v>
      </c>
      <c r="J264" s="3" t="s">
        <v>35</v>
      </c>
      <c r="K264" s="3" t="s">
        <v>92</v>
      </c>
    </row>
    <row r="265" spans="1:11" x14ac:dyDescent="0.3">
      <c r="A265" s="5" t="s">
        <v>508</v>
      </c>
      <c r="B265" s="6">
        <v>45956</v>
      </c>
      <c r="C265" s="5" t="s">
        <v>206</v>
      </c>
      <c r="D265" s="5" t="s">
        <v>59</v>
      </c>
      <c r="E265" s="5" t="s">
        <v>34</v>
      </c>
      <c r="F265" s="5" t="s">
        <v>31</v>
      </c>
      <c r="G265" s="5">
        <v>8</v>
      </c>
      <c r="H265" s="5">
        <v>3231</v>
      </c>
      <c r="I265" s="5">
        <v>25848</v>
      </c>
      <c r="J265" s="5" t="s">
        <v>16</v>
      </c>
      <c r="K265" s="5" t="s">
        <v>17</v>
      </c>
    </row>
    <row r="266" spans="1:11" x14ac:dyDescent="0.3">
      <c r="A266" s="3" t="s">
        <v>509</v>
      </c>
      <c r="B266" s="4">
        <v>45946</v>
      </c>
      <c r="C266" s="3" t="s">
        <v>510</v>
      </c>
      <c r="D266" s="3" t="s">
        <v>55</v>
      </c>
      <c r="E266" s="3" t="s">
        <v>73</v>
      </c>
      <c r="F266" s="3" t="s">
        <v>68</v>
      </c>
      <c r="G266" s="3">
        <v>8</v>
      </c>
      <c r="H266" s="3">
        <v>1111</v>
      </c>
      <c r="I266" s="3">
        <v>8888</v>
      </c>
      <c r="J266" s="3" t="s">
        <v>16</v>
      </c>
      <c r="K266" s="3" t="s">
        <v>92</v>
      </c>
    </row>
    <row r="267" spans="1:11" x14ac:dyDescent="0.3">
      <c r="A267" s="5" t="s">
        <v>511</v>
      </c>
      <c r="B267" s="6">
        <v>45769</v>
      </c>
      <c r="C267" s="5" t="s">
        <v>512</v>
      </c>
      <c r="D267" s="5" t="s">
        <v>29</v>
      </c>
      <c r="E267" s="5" t="s">
        <v>34</v>
      </c>
      <c r="F267" s="5" t="s">
        <v>31</v>
      </c>
      <c r="G267" s="5">
        <v>1</v>
      </c>
      <c r="H267" s="5">
        <v>3427</v>
      </c>
      <c r="I267" s="5">
        <v>3427</v>
      </c>
      <c r="J267" s="5" t="s">
        <v>35</v>
      </c>
      <c r="K267" s="5" t="s">
        <v>17</v>
      </c>
    </row>
    <row r="268" spans="1:11" x14ac:dyDescent="0.3">
      <c r="A268" s="3" t="s">
        <v>513</v>
      </c>
      <c r="B268" s="4">
        <v>45693</v>
      </c>
      <c r="C268" s="3" t="s">
        <v>514</v>
      </c>
      <c r="D268" s="3" t="s">
        <v>59</v>
      </c>
      <c r="E268" s="3" t="s">
        <v>34</v>
      </c>
      <c r="F268" s="3" t="s">
        <v>31</v>
      </c>
      <c r="G268" s="3">
        <v>2</v>
      </c>
      <c r="H268" s="3">
        <v>3528</v>
      </c>
      <c r="I268" s="3">
        <v>7056</v>
      </c>
      <c r="J268" s="3" t="s">
        <v>16</v>
      </c>
      <c r="K268" s="3" t="s">
        <v>39</v>
      </c>
    </row>
    <row r="269" spans="1:11" x14ac:dyDescent="0.3">
      <c r="A269" s="5" t="s">
        <v>515</v>
      </c>
      <c r="B269" s="6">
        <v>45887</v>
      </c>
      <c r="C269" s="5" t="s">
        <v>516</v>
      </c>
      <c r="D269" s="5" t="s">
        <v>59</v>
      </c>
      <c r="E269" s="5" t="s">
        <v>108</v>
      </c>
      <c r="F269" s="5" t="s">
        <v>49</v>
      </c>
      <c r="G269" s="5">
        <v>7</v>
      </c>
      <c r="H269" s="5">
        <v>6824</v>
      </c>
      <c r="I269" s="5">
        <v>47768</v>
      </c>
      <c r="J269" s="5" t="s">
        <v>16</v>
      </c>
      <c r="K269" s="5" t="s">
        <v>99</v>
      </c>
    </row>
    <row r="270" spans="1:11" x14ac:dyDescent="0.3">
      <c r="A270" s="3" t="s">
        <v>517</v>
      </c>
      <c r="B270" s="4">
        <v>45859</v>
      </c>
      <c r="C270" s="3" t="s">
        <v>66</v>
      </c>
      <c r="D270" s="3" t="s">
        <v>59</v>
      </c>
      <c r="E270" s="3" t="s">
        <v>80</v>
      </c>
      <c r="F270" s="3" t="s">
        <v>25</v>
      </c>
      <c r="G270" s="3">
        <v>6</v>
      </c>
      <c r="H270" s="3">
        <v>2309</v>
      </c>
      <c r="I270" s="3">
        <v>13854</v>
      </c>
      <c r="J270" s="3" t="s">
        <v>128</v>
      </c>
      <c r="K270" s="3" t="s">
        <v>81</v>
      </c>
    </row>
    <row r="271" spans="1:11" x14ac:dyDescent="0.3">
      <c r="A271" s="5" t="s">
        <v>518</v>
      </c>
      <c r="B271" s="6">
        <v>45936</v>
      </c>
      <c r="C271" s="5" t="s">
        <v>218</v>
      </c>
      <c r="D271" s="5" t="s">
        <v>13</v>
      </c>
      <c r="E271" s="5" t="s">
        <v>108</v>
      </c>
      <c r="F271" s="5" t="s">
        <v>49</v>
      </c>
      <c r="G271" s="5">
        <v>1</v>
      </c>
      <c r="H271" s="5">
        <v>7669</v>
      </c>
      <c r="I271" s="5">
        <v>7669</v>
      </c>
      <c r="J271" s="5" t="s">
        <v>16</v>
      </c>
      <c r="K271" s="5" t="s">
        <v>92</v>
      </c>
    </row>
    <row r="272" spans="1:11" x14ac:dyDescent="0.3">
      <c r="A272" s="3" t="s">
        <v>519</v>
      </c>
      <c r="B272" s="4">
        <v>45715</v>
      </c>
      <c r="C272" s="3" t="s">
        <v>309</v>
      </c>
      <c r="D272" s="3" t="s">
        <v>29</v>
      </c>
      <c r="E272" s="3" t="s">
        <v>108</v>
      </c>
      <c r="F272" s="3" t="s">
        <v>49</v>
      </c>
      <c r="G272" s="3">
        <v>8</v>
      </c>
      <c r="H272" s="3">
        <v>6784</v>
      </c>
      <c r="I272" s="3">
        <v>54272</v>
      </c>
      <c r="J272" s="3" t="s">
        <v>16</v>
      </c>
      <c r="K272" s="3" t="s">
        <v>84</v>
      </c>
    </row>
    <row r="273" spans="1:11" x14ac:dyDescent="0.3">
      <c r="A273" s="5" t="s">
        <v>520</v>
      </c>
      <c r="B273" s="6">
        <v>45675</v>
      </c>
      <c r="C273" s="5" t="s">
        <v>521</v>
      </c>
      <c r="D273" s="5" t="s">
        <v>13</v>
      </c>
      <c r="E273" s="5" t="s">
        <v>80</v>
      </c>
      <c r="F273" s="5" t="s">
        <v>25</v>
      </c>
      <c r="G273" s="5">
        <v>4</v>
      </c>
      <c r="H273" s="5">
        <v>2353</v>
      </c>
      <c r="I273" s="5">
        <v>9412</v>
      </c>
      <c r="J273" s="5" t="s">
        <v>16</v>
      </c>
      <c r="K273" s="5" t="s">
        <v>89</v>
      </c>
    </row>
    <row r="274" spans="1:11" x14ac:dyDescent="0.3">
      <c r="A274" s="3" t="s">
        <v>522</v>
      </c>
      <c r="B274" s="4">
        <v>45769</v>
      </c>
      <c r="C274" s="3" t="s">
        <v>523</v>
      </c>
      <c r="D274" s="3" t="s">
        <v>13</v>
      </c>
      <c r="E274" s="3" t="s">
        <v>52</v>
      </c>
      <c r="F274" s="3" t="s">
        <v>15</v>
      </c>
      <c r="G274" s="3">
        <v>1</v>
      </c>
      <c r="H274" s="3">
        <v>24511</v>
      </c>
      <c r="I274" s="3">
        <v>24511</v>
      </c>
      <c r="J274" s="3" t="s">
        <v>16</v>
      </c>
      <c r="K274" s="3" t="s">
        <v>81</v>
      </c>
    </row>
    <row r="275" spans="1:11" x14ac:dyDescent="0.3">
      <c r="A275" s="5" t="s">
        <v>524</v>
      </c>
      <c r="B275" s="6">
        <v>46002</v>
      </c>
      <c r="C275" s="5" t="s">
        <v>525</v>
      </c>
      <c r="D275" s="5" t="s">
        <v>29</v>
      </c>
      <c r="E275" s="5" t="s">
        <v>30</v>
      </c>
      <c r="F275" s="5" t="s">
        <v>31</v>
      </c>
      <c r="G275" s="5">
        <v>10</v>
      </c>
      <c r="H275" s="5">
        <v>771</v>
      </c>
      <c r="I275" s="5">
        <v>7710</v>
      </c>
      <c r="J275" s="5" t="s">
        <v>16</v>
      </c>
      <c r="K275" s="5" t="s">
        <v>21</v>
      </c>
    </row>
    <row r="276" spans="1:11" x14ac:dyDescent="0.3">
      <c r="A276" s="3" t="s">
        <v>526</v>
      </c>
      <c r="B276" s="4">
        <v>45689</v>
      </c>
      <c r="C276" s="3" t="s">
        <v>47</v>
      </c>
      <c r="D276" s="3" t="s">
        <v>59</v>
      </c>
      <c r="E276" s="3" t="s">
        <v>48</v>
      </c>
      <c r="F276" s="3" t="s">
        <v>49</v>
      </c>
      <c r="G276" s="3">
        <v>9</v>
      </c>
      <c r="H276" s="3">
        <v>8497</v>
      </c>
      <c r="I276" s="3">
        <v>76473</v>
      </c>
      <c r="J276" s="3" t="s">
        <v>16</v>
      </c>
      <c r="K276" s="3" t="s">
        <v>89</v>
      </c>
    </row>
    <row r="277" spans="1:11" x14ac:dyDescent="0.3">
      <c r="A277" s="5" t="s">
        <v>527</v>
      </c>
      <c r="B277" s="6">
        <v>45834</v>
      </c>
      <c r="C277" s="5" t="s">
        <v>528</v>
      </c>
      <c r="D277" s="5" t="s">
        <v>55</v>
      </c>
      <c r="E277" s="5" t="s">
        <v>48</v>
      </c>
      <c r="F277" s="5" t="s">
        <v>49</v>
      </c>
      <c r="G277" s="5">
        <v>7</v>
      </c>
      <c r="H277" s="5">
        <v>9100</v>
      </c>
      <c r="I277" s="5">
        <v>63700</v>
      </c>
      <c r="J277" s="5" t="s">
        <v>16</v>
      </c>
      <c r="K277" s="5" t="s">
        <v>64</v>
      </c>
    </row>
    <row r="278" spans="1:11" x14ac:dyDescent="0.3">
      <c r="A278" s="3" t="s">
        <v>529</v>
      </c>
      <c r="B278" s="4">
        <v>45752</v>
      </c>
      <c r="C278" s="3" t="s">
        <v>154</v>
      </c>
      <c r="D278" s="3" t="s">
        <v>29</v>
      </c>
      <c r="E278" s="3" t="s">
        <v>24</v>
      </c>
      <c r="F278" s="3" t="s">
        <v>25</v>
      </c>
      <c r="G278" s="3">
        <v>7</v>
      </c>
      <c r="H278" s="3">
        <v>1177</v>
      </c>
      <c r="I278" s="3">
        <v>8239</v>
      </c>
      <c r="J278" s="3" t="s">
        <v>16</v>
      </c>
      <c r="K278" s="3" t="s">
        <v>95</v>
      </c>
    </row>
    <row r="279" spans="1:11" x14ac:dyDescent="0.3">
      <c r="A279" s="5" t="s">
        <v>530</v>
      </c>
      <c r="B279" s="6">
        <v>45945</v>
      </c>
      <c r="C279" s="5" t="s">
        <v>473</v>
      </c>
      <c r="D279" s="5" t="s">
        <v>59</v>
      </c>
      <c r="E279" s="5" t="s">
        <v>113</v>
      </c>
      <c r="F279" s="5" t="s">
        <v>49</v>
      </c>
      <c r="G279" s="5">
        <v>3</v>
      </c>
      <c r="H279" s="5">
        <v>12733</v>
      </c>
      <c r="I279" s="5">
        <v>38199</v>
      </c>
      <c r="J279" s="5" t="s">
        <v>35</v>
      </c>
      <c r="K279" s="5" t="s">
        <v>99</v>
      </c>
    </row>
    <row r="280" spans="1:11" x14ac:dyDescent="0.3">
      <c r="A280" s="3" t="s">
        <v>531</v>
      </c>
      <c r="B280" s="4">
        <v>45698</v>
      </c>
      <c r="C280" s="3" t="s">
        <v>372</v>
      </c>
      <c r="D280" s="3" t="s">
        <v>13</v>
      </c>
      <c r="E280" s="3" t="s">
        <v>113</v>
      </c>
      <c r="F280" s="3" t="s">
        <v>49</v>
      </c>
      <c r="G280" s="3">
        <v>4</v>
      </c>
      <c r="H280" s="3">
        <v>11411</v>
      </c>
      <c r="I280" s="3">
        <v>45644</v>
      </c>
      <c r="J280" s="3" t="s">
        <v>16</v>
      </c>
      <c r="K280" s="3" t="s">
        <v>42</v>
      </c>
    </row>
    <row r="281" spans="1:11" x14ac:dyDescent="0.3">
      <c r="A281" s="5" t="s">
        <v>532</v>
      </c>
      <c r="B281" s="6">
        <v>45967</v>
      </c>
      <c r="C281" s="5" t="s">
        <v>533</v>
      </c>
      <c r="D281" s="5" t="s">
        <v>29</v>
      </c>
      <c r="E281" s="5" t="s">
        <v>60</v>
      </c>
      <c r="F281" s="5" t="s">
        <v>25</v>
      </c>
      <c r="G281" s="5">
        <v>4</v>
      </c>
      <c r="H281" s="5">
        <v>1365</v>
      </c>
      <c r="I281" s="5">
        <v>5460</v>
      </c>
      <c r="J281" s="5" t="s">
        <v>16</v>
      </c>
      <c r="K281" s="5" t="s">
        <v>39</v>
      </c>
    </row>
    <row r="282" spans="1:11" x14ac:dyDescent="0.3">
      <c r="A282" s="3" t="s">
        <v>534</v>
      </c>
      <c r="B282" s="4">
        <v>45828</v>
      </c>
      <c r="C282" s="3" t="s">
        <v>243</v>
      </c>
      <c r="D282" s="3" t="s">
        <v>55</v>
      </c>
      <c r="E282" s="3" t="s">
        <v>48</v>
      </c>
      <c r="F282" s="3" t="s">
        <v>49</v>
      </c>
      <c r="G282" s="3">
        <v>9</v>
      </c>
      <c r="H282" s="3">
        <v>8490</v>
      </c>
      <c r="I282" s="3">
        <v>76410</v>
      </c>
      <c r="J282" s="3" t="s">
        <v>16</v>
      </c>
      <c r="K282" s="3" t="s">
        <v>36</v>
      </c>
    </row>
    <row r="283" spans="1:11" x14ac:dyDescent="0.3">
      <c r="A283" s="5" t="s">
        <v>535</v>
      </c>
      <c r="B283" s="6">
        <v>45782</v>
      </c>
      <c r="C283" s="5" t="s">
        <v>536</v>
      </c>
      <c r="D283" s="5" t="s">
        <v>59</v>
      </c>
      <c r="E283" s="5" t="s">
        <v>48</v>
      </c>
      <c r="F283" s="5" t="s">
        <v>49</v>
      </c>
      <c r="G283" s="5">
        <v>2</v>
      </c>
      <c r="H283" s="5">
        <v>9444</v>
      </c>
      <c r="I283" s="5">
        <v>18888</v>
      </c>
      <c r="J283" s="5" t="s">
        <v>16</v>
      </c>
      <c r="K283" s="5" t="s">
        <v>26</v>
      </c>
    </row>
    <row r="284" spans="1:11" x14ac:dyDescent="0.3">
      <c r="A284" s="3" t="s">
        <v>537</v>
      </c>
      <c r="B284" s="4">
        <v>45931</v>
      </c>
      <c r="C284" s="3" t="s">
        <v>396</v>
      </c>
      <c r="D284" s="3" t="s">
        <v>59</v>
      </c>
      <c r="E284" s="3" t="s">
        <v>48</v>
      </c>
      <c r="F284" s="3" t="s">
        <v>49</v>
      </c>
      <c r="G284" s="3">
        <v>6</v>
      </c>
      <c r="H284" s="3">
        <v>9495</v>
      </c>
      <c r="I284" s="3">
        <v>56970</v>
      </c>
      <c r="J284" s="3" t="s">
        <v>16</v>
      </c>
      <c r="K284" s="3" t="s">
        <v>61</v>
      </c>
    </row>
    <row r="285" spans="1:11" x14ac:dyDescent="0.3">
      <c r="A285" s="5" t="s">
        <v>538</v>
      </c>
      <c r="B285" s="6">
        <v>45898</v>
      </c>
      <c r="C285" s="5" t="s">
        <v>539</v>
      </c>
      <c r="D285" s="5" t="s">
        <v>59</v>
      </c>
      <c r="E285" s="5" t="s">
        <v>34</v>
      </c>
      <c r="F285" s="5" t="s">
        <v>31</v>
      </c>
      <c r="G285" s="5">
        <v>8</v>
      </c>
      <c r="H285" s="5">
        <v>3476</v>
      </c>
      <c r="I285" s="5">
        <v>27808</v>
      </c>
      <c r="J285" s="5" t="s">
        <v>16</v>
      </c>
      <c r="K285" s="5" t="s">
        <v>36</v>
      </c>
    </row>
    <row r="286" spans="1:11" x14ac:dyDescent="0.3">
      <c r="A286" s="3" t="s">
        <v>540</v>
      </c>
      <c r="B286" s="4">
        <v>45732</v>
      </c>
      <c r="C286" s="3" t="s">
        <v>320</v>
      </c>
      <c r="D286" s="3" t="s">
        <v>59</v>
      </c>
      <c r="E286" s="3" t="s">
        <v>45</v>
      </c>
      <c r="F286" s="3" t="s">
        <v>31</v>
      </c>
      <c r="G286" s="3">
        <v>1</v>
      </c>
      <c r="H286" s="3">
        <v>1822</v>
      </c>
      <c r="I286" s="3">
        <v>1822</v>
      </c>
      <c r="J286" s="3" t="s">
        <v>16</v>
      </c>
      <c r="K286" s="3" t="s">
        <v>56</v>
      </c>
    </row>
    <row r="287" spans="1:11" x14ac:dyDescent="0.3">
      <c r="A287" s="5" t="s">
        <v>541</v>
      </c>
      <c r="B287" s="6">
        <v>45775</v>
      </c>
      <c r="C287" s="5" t="s">
        <v>28</v>
      </c>
      <c r="D287" s="5" t="s">
        <v>13</v>
      </c>
      <c r="E287" s="5" t="s">
        <v>60</v>
      </c>
      <c r="F287" s="5" t="s">
        <v>25</v>
      </c>
      <c r="G287" s="5">
        <v>7</v>
      </c>
      <c r="H287" s="5">
        <v>1438</v>
      </c>
      <c r="I287" s="5">
        <v>10066</v>
      </c>
      <c r="J287" s="5" t="s">
        <v>16</v>
      </c>
      <c r="K287" s="5" t="s">
        <v>89</v>
      </c>
    </row>
    <row r="288" spans="1:11" x14ac:dyDescent="0.3">
      <c r="A288" s="3" t="s">
        <v>542</v>
      </c>
      <c r="B288" s="4">
        <v>45986</v>
      </c>
      <c r="C288" s="3" t="s">
        <v>325</v>
      </c>
      <c r="D288" s="3" t="s">
        <v>55</v>
      </c>
      <c r="E288" s="3" t="s">
        <v>67</v>
      </c>
      <c r="F288" s="3" t="s">
        <v>68</v>
      </c>
      <c r="G288" s="3">
        <v>6</v>
      </c>
      <c r="H288" s="3">
        <v>475</v>
      </c>
      <c r="I288" s="3">
        <v>2850</v>
      </c>
      <c r="J288" s="3" t="s">
        <v>16</v>
      </c>
      <c r="K288" s="3" t="s">
        <v>95</v>
      </c>
    </row>
    <row r="289" spans="1:11" x14ac:dyDescent="0.3">
      <c r="A289" s="5" t="s">
        <v>543</v>
      </c>
      <c r="B289" s="6">
        <v>45935</v>
      </c>
      <c r="C289" s="5" t="s">
        <v>544</v>
      </c>
      <c r="D289" s="5" t="s">
        <v>59</v>
      </c>
      <c r="E289" s="5" t="s">
        <v>30</v>
      </c>
      <c r="F289" s="5" t="s">
        <v>31</v>
      </c>
      <c r="G289" s="5">
        <v>3</v>
      </c>
      <c r="H289" s="5">
        <v>835</v>
      </c>
      <c r="I289" s="5">
        <v>2505</v>
      </c>
      <c r="J289" s="5" t="s">
        <v>16</v>
      </c>
      <c r="K289" s="5" t="s">
        <v>39</v>
      </c>
    </row>
    <row r="290" spans="1:11" x14ac:dyDescent="0.3">
      <c r="A290" s="3" t="s">
        <v>545</v>
      </c>
      <c r="B290" s="4">
        <v>45776</v>
      </c>
      <c r="C290" s="3" t="s">
        <v>546</v>
      </c>
      <c r="D290" s="3" t="s">
        <v>29</v>
      </c>
      <c r="E290" s="3" t="s">
        <v>20</v>
      </c>
      <c r="F290" s="3" t="s">
        <v>15</v>
      </c>
      <c r="G290" s="3">
        <v>1</v>
      </c>
      <c r="H290" s="3">
        <v>54036</v>
      </c>
      <c r="I290" s="3">
        <v>54036</v>
      </c>
      <c r="J290" s="3" t="s">
        <v>35</v>
      </c>
      <c r="K290" s="3" t="s">
        <v>26</v>
      </c>
    </row>
    <row r="291" spans="1:11" x14ac:dyDescent="0.3">
      <c r="A291" s="5" t="s">
        <v>547</v>
      </c>
      <c r="B291" s="6">
        <v>45999</v>
      </c>
      <c r="C291" s="5" t="s">
        <v>548</v>
      </c>
      <c r="D291" s="5" t="s">
        <v>59</v>
      </c>
      <c r="E291" s="5" t="s">
        <v>48</v>
      </c>
      <c r="F291" s="5" t="s">
        <v>49</v>
      </c>
      <c r="G291" s="5">
        <v>8</v>
      </c>
      <c r="H291" s="5">
        <v>8771</v>
      </c>
      <c r="I291" s="5">
        <v>70168</v>
      </c>
      <c r="J291" s="5" t="s">
        <v>16</v>
      </c>
      <c r="K291" s="5" t="s">
        <v>36</v>
      </c>
    </row>
    <row r="292" spans="1:11" x14ac:dyDescent="0.3">
      <c r="A292" s="3" t="s">
        <v>549</v>
      </c>
      <c r="B292" s="4">
        <v>45666</v>
      </c>
      <c r="C292" s="3" t="s">
        <v>75</v>
      </c>
      <c r="D292" s="3" t="s">
        <v>29</v>
      </c>
      <c r="E292" s="3" t="s">
        <v>73</v>
      </c>
      <c r="F292" s="3" t="s">
        <v>68</v>
      </c>
      <c r="G292" s="3">
        <v>1</v>
      </c>
      <c r="H292" s="3">
        <v>1207</v>
      </c>
      <c r="I292" s="3">
        <v>1207</v>
      </c>
      <c r="J292" s="3" t="s">
        <v>16</v>
      </c>
      <c r="K292" s="3" t="s">
        <v>26</v>
      </c>
    </row>
    <row r="293" spans="1:11" x14ac:dyDescent="0.3">
      <c r="A293" s="5" t="s">
        <v>550</v>
      </c>
      <c r="B293" s="6">
        <v>45749</v>
      </c>
      <c r="C293" s="5" t="s">
        <v>72</v>
      </c>
      <c r="D293" s="5" t="s">
        <v>59</v>
      </c>
      <c r="E293" s="5" t="s">
        <v>30</v>
      </c>
      <c r="F293" s="5" t="s">
        <v>31</v>
      </c>
      <c r="G293" s="5">
        <v>9</v>
      </c>
      <c r="H293" s="5">
        <v>850</v>
      </c>
      <c r="I293" s="5">
        <v>7650</v>
      </c>
      <c r="J293" s="5" t="s">
        <v>16</v>
      </c>
      <c r="K293" s="5" t="s">
        <v>36</v>
      </c>
    </row>
    <row r="294" spans="1:11" x14ac:dyDescent="0.3">
      <c r="A294" s="3" t="s">
        <v>551</v>
      </c>
      <c r="B294" s="4">
        <v>45839</v>
      </c>
      <c r="C294" s="3" t="s">
        <v>552</v>
      </c>
      <c r="D294" s="3" t="s">
        <v>59</v>
      </c>
      <c r="E294" s="3" t="s">
        <v>108</v>
      </c>
      <c r="F294" s="3" t="s">
        <v>49</v>
      </c>
      <c r="G294" s="3">
        <v>4</v>
      </c>
      <c r="H294" s="3">
        <v>7167</v>
      </c>
      <c r="I294" s="3">
        <v>28668</v>
      </c>
      <c r="J294" s="3" t="s">
        <v>16</v>
      </c>
      <c r="K294" s="3" t="s">
        <v>84</v>
      </c>
    </row>
    <row r="295" spans="1:11" x14ac:dyDescent="0.3">
      <c r="A295" s="5" t="s">
        <v>553</v>
      </c>
      <c r="B295" s="6">
        <v>45773</v>
      </c>
      <c r="C295" s="5" t="s">
        <v>554</v>
      </c>
      <c r="D295" s="5" t="s">
        <v>29</v>
      </c>
      <c r="E295" s="5" t="s">
        <v>45</v>
      </c>
      <c r="F295" s="5" t="s">
        <v>31</v>
      </c>
      <c r="G295" s="5">
        <v>8</v>
      </c>
      <c r="H295" s="5">
        <v>1823</v>
      </c>
      <c r="I295" s="5">
        <v>14584</v>
      </c>
      <c r="J295" s="5" t="s">
        <v>128</v>
      </c>
      <c r="K295" s="5" t="s">
        <v>64</v>
      </c>
    </row>
    <row r="296" spans="1:11" x14ac:dyDescent="0.3">
      <c r="A296" s="3" t="s">
        <v>555</v>
      </c>
      <c r="B296" s="4">
        <v>45901</v>
      </c>
      <c r="C296" s="3" t="s">
        <v>523</v>
      </c>
      <c r="D296" s="3" t="s">
        <v>55</v>
      </c>
      <c r="E296" s="3" t="s">
        <v>20</v>
      </c>
      <c r="F296" s="3" t="s">
        <v>15</v>
      </c>
      <c r="G296" s="3">
        <v>2</v>
      </c>
      <c r="H296" s="3">
        <v>53958</v>
      </c>
      <c r="I296" s="3">
        <v>107916</v>
      </c>
      <c r="J296" s="3" t="s">
        <v>16</v>
      </c>
      <c r="K296" s="3" t="s">
        <v>64</v>
      </c>
    </row>
    <row r="297" spans="1:11" x14ac:dyDescent="0.3">
      <c r="A297" s="5" t="s">
        <v>556</v>
      </c>
      <c r="B297" s="6">
        <v>45827</v>
      </c>
      <c r="C297" s="5" t="s">
        <v>315</v>
      </c>
      <c r="D297" s="5" t="s">
        <v>59</v>
      </c>
      <c r="E297" s="5" t="s">
        <v>108</v>
      </c>
      <c r="F297" s="5" t="s">
        <v>49</v>
      </c>
      <c r="G297" s="5">
        <v>8</v>
      </c>
      <c r="H297" s="5">
        <v>7483</v>
      </c>
      <c r="I297" s="5">
        <v>59864</v>
      </c>
      <c r="J297" s="5" t="s">
        <v>16</v>
      </c>
      <c r="K297" s="5" t="s">
        <v>42</v>
      </c>
    </row>
    <row r="298" spans="1:11" x14ac:dyDescent="0.3">
      <c r="A298" s="3" t="s">
        <v>557</v>
      </c>
      <c r="B298" s="4">
        <v>45948</v>
      </c>
      <c r="C298" s="3" t="s">
        <v>558</v>
      </c>
      <c r="D298" s="3" t="s">
        <v>55</v>
      </c>
      <c r="E298" s="3" t="s">
        <v>80</v>
      </c>
      <c r="F298" s="3" t="s">
        <v>25</v>
      </c>
      <c r="G298" s="3">
        <v>4</v>
      </c>
      <c r="H298" s="3">
        <v>2355</v>
      </c>
      <c r="I298" s="3">
        <v>9420</v>
      </c>
      <c r="J298" s="3" t="s">
        <v>16</v>
      </c>
      <c r="K298" s="3" t="s">
        <v>56</v>
      </c>
    </row>
    <row r="299" spans="1:11" x14ac:dyDescent="0.3">
      <c r="A299" s="5" t="s">
        <v>559</v>
      </c>
      <c r="B299" s="6">
        <v>45819</v>
      </c>
      <c r="C299" s="5" t="s">
        <v>320</v>
      </c>
      <c r="D299" s="5" t="s">
        <v>59</v>
      </c>
      <c r="E299" s="5" t="s">
        <v>14</v>
      </c>
      <c r="F299" s="5" t="s">
        <v>15</v>
      </c>
      <c r="G299" s="5">
        <v>9</v>
      </c>
      <c r="H299" s="5">
        <v>3038</v>
      </c>
      <c r="I299" s="5">
        <v>27342</v>
      </c>
      <c r="J299" s="5" t="s">
        <v>16</v>
      </c>
      <c r="K299" s="5" t="s">
        <v>21</v>
      </c>
    </row>
    <row r="300" spans="1:11" x14ac:dyDescent="0.3">
      <c r="A300" s="3" t="s">
        <v>560</v>
      </c>
      <c r="B300" s="4">
        <v>45857</v>
      </c>
      <c r="C300" s="3" t="s">
        <v>300</v>
      </c>
      <c r="D300" s="3" t="s">
        <v>13</v>
      </c>
      <c r="E300" s="3" t="s">
        <v>73</v>
      </c>
      <c r="F300" s="3" t="s">
        <v>68</v>
      </c>
      <c r="G300" s="3">
        <v>5</v>
      </c>
      <c r="H300" s="3">
        <v>1118</v>
      </c>
      <c r="I300" s="3">
        <v>5590</v>
      </c>
      <c r="J300" s="3" t="s">
        <v>16</v>
      </c>
      <c r="K300" s="3" t="s">
        <v>36</v>
      </c>
    </row>
    <row r="301" spans="1:11" x14ac:dyDescent="0.3">
      <c r="A301" s="5" t="s">
        <v>561</v>
      </c>
      <c r="B301" s="6">
        <v>45698</v>
      </c>
      <c r="C301" s="5" t="s">
        <v>562</v>
      </c>
      <c r="D301" s="5" t="s">
        <v>29</v>
      </c>
      <c r="E301" s="5" t="s">
        <v>67</v>
      </c>
      <c r="F301" s="5" t="s">
        <v>68</v>
      </c>
      <c r="G301" s="5">
        <v>3</v>
      </c>
      <c r="H301" s="5">
        <v>529</v>
      </c>
      <c r="I301" s="5">
        <v>1587</v>
      </c>
      <c r="J301" s="5" t="s">
        <v>16</v>
      </c>
      <c r="K301" s="5" t="s">
        <v>26</v>
      </c>
    </row>
    <row r="302" spans="1:11" x14ac:dyDescent="0.3">
      <c r="A302" s="3" t="s">
        <v>563</v>
      </c>
      <c r="B302" s="4">
        <v>45967</v>
      </c>
      <c r="C302" s="3" t="s">
        <v>417</v>
      </c>
      <c r="D302" s="3" t="s">
        <v>55</v>
      </c>
      <c r="E302" s="3" t="s">
        <v>20</v>
      </c>
      <c r="F302" s="3" t="s">
        <v>15</v>
      </c>
      <c r="G302" s="3">
        <v>7</v>
      </c>
      <c r="H302" s="3">
        <v>52053</v>
      </c>
      <c r="I302" s="3">
        <v>364371</v>
      </c>
      <c r="J302" s="3" t="s">
        <v>16</v>
      </c>
      <c r="K302" s="3" t="s">
        <v>89</v>
      </c>
    </row>
    <row r="303" spans="1:11" x14ac:dyDescent="0.3">
      <c r="A303" s="5" t="s">
        <v>564</v>
      </c>
      <c r="B303" s="6">
        <v>45774</v>
      </c>
      <c r="C303" s="5" t="s">
        <v>565</v>
      </c>
      <c r="D303" s="5" t="s">
        <v>29</v>
      </c>
      <c r="E303" s="5" t="s">
        <v>30</v>
      </c>
      <c r="F303" s="5" t="s">
        <v>31</v>
      </c>
      <c r="G303" s="5">
        <v>5</v>
      </c>
      <c r="H303" s="5">
        <v>845</v>
      </c>
      <c r="I303" s="5">
        <v>4225</v>
      </c>
      <c r="J303" s="5" t="s">
        <v>16</v>
      </c>
      <c r="K303" s="5" t="s">
        <v>92</v>
      </c>
    </row>
    <row r="304" spans="1:11" x14ac:dyDescent="0.3">
      <c r="A304" s="3" t="s">
        <v>566</v>
      </c>
      <c r="B304" s="4">
        <v>45974</v>
      </c>
      <c r="C304" s="3" t="s">
        <v>158</v>
      </c>
      <c r="D304" s="3" t="s">
        <v>55</v>
      </c>
      <c r="E304" s="3" t="s">
        <v>73</v>
      </c>
      <c r="F304" s="3" t="s">
        <v>68</v>
      </c>
      <c r="G304" s="3">
        <v>10</v>
      </c>
      <c r="H304" s="3">
        <v>1238</v>
      </c>
      <c r="I304" s="3">
        <v>12380</v>
      </c>
      <c r="J304" s="3" t="s">
        <v>16</v>
      </c>
      <c r="K304" s="3" t="s">
        <v>84</v>
      </c>
    </row>
    <row r="305" spans="1:11" x14ac:dyDescent="0.3">
      <c r="A305" s="5" t="s">
        <v>567</v>
      </c>
      <c r="B305" s="6">
        <v>45982</v>
      </c>
      <c r="C305" s="5" t="s">
        <v>63</v>
      </c>
      <c r="D305" s="5" t="s">
        <v>59</v>
      </c>
      <c r="E305" s="5" t="s">
        <v>20</v>
      </c>
      <c r="F305" s="5" t="s">
        <v>15</v>
      </c>
      <c r="G305" s="5">
        <v>5</v>
      </c>
      <c r="H305" s="5">
        <v>51196</v>
      </c>
      <c r="I305" s="5">
        <v>255980</v>
      </c>
      <c r="J305" s="5" t="s">
        <v>16</v>
      </c>
      <c r="K305" s="5" t="s">
        <v>26</v>
      </c>
    </row>
    <row r="306" spans="1:11" x14ac:dyDescent="0.3">
      <c r="A306" s="3" t="s">
        <v>568</v>
      </c>
      <c r="B306" s="4">
        <v>45842</v>
      </c>
      <c r="C306" s="3" t="s">
        <v>569</v>
      </c>
      <c r="D306" s="3" t="s">
        <v>29</v>
      </c>
      <c r="E306" s="3" t="s">
        <v>30</v>
      </c>
      <c r="F306" s="3" t="s">
        <v>31</v>
      </c>
      <c r="G306" s="3">
        <v>2</v>
      </c>
      <c r="H306" s="3">
        <v>720</v>
      </c>
      <c r="I306" s="3">
        <v>1440</v>
      </c>
      <c r="J306" s="3" t="s">
        <v>16</v>
      </c>
      <c r="K306" s="3" t="s">
        <v>17</v>
      </c>
    </row>
    <row r="307" spans="1:11" x14ac:dyDescent="0.3">
      <c r="A307" s="5" t="s">
        <v>570</v>
      </c>
      <c r="B307" s="6">
        <v>45710</v>
      </c>
      <c r="C307" s="5" t="s">
        <v>571</v>
      </c>
      <c r="D307" s="5" t="s">
        <v>59</v>
      </c>
      <c r="E307" s="5" t="s">
        <v>113</v>
      </c>
      <c r="F307" s="5" t="s">
        <v>49</v>
      </c>
      <c r="G307" s="5">
        <v>8</v>
      </c>
      <c r="H307" s="5">
        <v>12136</v>
      </c>
      <c r="I307" s="5">
        <v>97088</v>
      </c>
      <c r="J307" s="5" t="s">
        <v>16</v>
      </c>
      <c r="K307" s="5" t="s">
        <v>17</v>
      </c>
    </row>
    <row r="308" spans="1:11" x14ac:dyDescent="0.3">
      <c r="A308" s="3" t="s">
        <v>572</v>
      </c>
      <c r="B308" s="4">
        <v>45701</v>
      </c>
      <c r="C308" s="3" t="s">
        <v>573</v>
      </c>
      <c r="D308" s="3" t="s">
        <v>29</v>
      </c>
      <c r="E308" s="3" t="s">
        <v>14</v>
      </c>
      <c r="F308" s="3" t="s">
        <v>15</v>
      </c>
      <c r="G308" s="3">
        <v>7</v>
      </c>
      <c r="H308" s="3">
        <v>2707</v>
      </c>
      <c r="I308" s="3">
        <v>18949</v>
      </c>
      <c r="J308" s="3" t="s">
        <v>16</v>
      </c>
      <c r="K308" s="3" t="s">
        <v>36</v>
      </c>
    </row>
    <row r="309" spans="1:11" x14ac:dyDescent="0.3">
      <c r="A309" s="5" t="s">
        <v>574</v>
      </c>
      <c r="B309" s="6">
        <v>45729</v>
      </c>
      <c r="C309" s="5" t="s">
        <v>575</v>
      </c>
      <c r="D309" s="5" t="s">
        <v>55</v>
      </c>
      <c r="E309" s="5" t="s">
        <v>48</v>
      </c>
      <c r="F309" s="5" t="s">
        <v>49</v>
      </c>
      <c r="G309" s="5">
        <v>9</v>
      </c>
      <c r="H309" s="5">
        <v>8405</v>
      </c>
      <c r="I309" s="5">
        <v>75645</v>
      </c>
      <c r="J309" s="5" t="s">
        <v>16</v>
      </c>
      <c r="K309" s="5" t="s">
        <v>56</v>
      </c>
    </row>
    <row r="310" spans="1:11" x14ac:dyDescent="0.3">
      <c r="A310" s="3" t="s">
        <v>576</v>
      </c>
      <c r="B310" s="4">
        <v>45905</v>
      </c>
      <c r="C310" s="3" t="s">
        <v>577</v>
      </c>
      <c r="D310" s="3" t="s">
        <v>59</v>
      </c>
      <c r="E310" s="3" t="s">
        <v>108</v>
      </c>
      <c r="F310" s="3" t="s">
        <v>49</v>
      </c>
      <c r="G310" s="3">
        <v>3</v>
      </c>
      <c r="H310" s="3">
        <v>6908</v>
      </c>
      <c r="I310" s="3">
        <v>20724</v>
      </c>
      <c r="J310" s="3" t="s">
        <v>16</v>
      </c>
      <c r="K310" s="3" t="s">
        <v>61</v>
      </c>
    </row>
    <row r="311" spans="1:11" x14ac:dyDescent="0.3">
      <c r="A311" s="5" t="s">
        <v>578</v>
      </c>
      <c r="B311" s="6">
        <v>45712</v>
      </c>
      <c r="C311" s="5" t="s">
        <v>579</v>
      </c>
      <c r="D311" s="5" t="s">
        <v>59</v>
      </c>
      <c r="E311" s="5" t="s">
        <v>48</v>
      </c>
      <c r="F311" s="5" t="s">
        <v>49</v>
      </c>
      <c r="G311" s="5">
        <v>8</v>
      </c>
      <c r="H311" s="5">
        <v>9168</v>
      </c>
      <c r="I311" s="5">
        <v>73344</v>
      </c>
      <c r="J311" s="5" t="s">
        <v>16</v>
      </c>
      <c r="K311" s="5" t="s">
        <v>56</v>
      </c>
    </row>
    <row r="312" spans="1:11" x14ac:dyDescent="0.3">
      <c r="A312" s="3" t="s">
        <v>580</v>
      </c>
      <c r="B312" s="4">
        <v>45883</v>
      </c>
      <c r="C312" s="3" t="s">
        <v>581</v>
      </c>
      <c r="D312" s="3" t="s">
        <v>59</v>
      </c>
      <c r="E312" s="3" t="s">
        <v>98</v>
      </c>
      <c r="F312" s="3" t="s">
        <v>68</v>
      </c>
      <c r="G312" s="3">
        <v>10</v>
      </c>
      <c r="H312" s="3">
        <v>1756</v>
      </c>
      <c r="I312" s="3">
        <v>17560</v>
      </c>
      <c r="J312" s="3" t="s">
        <v>16</v>
      </c>
      <c r="K312" s="3" t="s">
        <v>99</v>
      </c>
    </row>
    <row r="313" spans="1:11" x14ac:dyDescent="0.3">
      <c r="A313" s="5" t="s">
        <v>582</v>
      </c>
      <c r="B313" s="6">
        <v>45760</v>
      </c>
      <c r="C313" s="5" t="s">
        <v>583</v>
      </c>
      <c r="D313" s="5" t="s">
        <v>55</v>
      </c>
      <c r="E313" s="5" t="s">
        <v>80</v>
      </c>
      <c r="F313" s="5" t="s">
        <v>25</v>
      </c>
      <c r="G313" s="5">
        <v>5</v>
      </c>
      <c r="H313" s="5">
        <v>2410</v>
      </c>
      <c r="I313" s="5">
        <v>12050</v>
      </c>
      <c r="J313" s="5" t="s">
        <v>35</v>
      </c>
      <c r="K313" s="5" t="s">
        <v>61</v>
      </c>
    </row>
    <row r="314" spans="1:11" x14ac:dyDescent="0.3">
      <c r="A314" s="3" t="s">
        <v>584</v>
      </c>
      <c r="B314" s="4">
        <v>45952</v>
      </c>
      <c r="C314" s="3" t="s">
        <v>202</v>
      </c>
      <c r="D314" s="3" t="s">
        <v>59</v>
      </c>
      <c r="E314" s="3" t="s">
        <v>98</v>
      </c>
      <c r="F314" s="3" t="s">
        <v>68</v>
      </c>
      <c r="G314" s="3">
        <v>5</v>
      </c>
      <c r="H314" s="3">
        <v>1884</v>
      </c>
      <c r="I314" s="3">
        <v>9420</v>
      </c>
      <c r="J314" s="3" t="s">
        <v>16</v>
      </c>
      <c r="K314" s="3" t="s">
        <v>61</v>
      </c>
    </row>
    <row r="315" spans="1:11" x14ac:dyDescent="0.3">
      <c r="A315" s="5" t="s">
        <v>585</v>
      </c>
      <c r="B315" s="6">
        <v>45937</v>
      </c>
      <c r="C315" s="5" t="s">
        <v>586</v>
      </c>
      <c r="D315" s="5" t="s">
        <v>29</v>
      </c>
      <c r="E315" s="5" t="s">
        <v>98</v>
      </c>
      <c r="F315" s="5" t="s">
        <v>68</v>
      </c>
      <c r="G315" s="5">
        <v>2</v>
      </c>
      <c r="H315" s="5">
        <v>1955</v>
      </c>
      <c r="I315" s="5">
        <v>3910</v>
      </c>
      <c r="J315" s="5" t="s">
        <v>16</v>
      </c>
      <c r="K315" s="5" t="s">
        <v>64</v>
      </c>
    </row>
    <row r="316" spans="1:11" x14ac:dyDescent="0.3">
      <c r="A316" s="3" t="s">
        <v>587</v>
      </c>
      <c r="B316" s="4">
        <v>46012</v>
      </c>
      <c r="C316" s="3" t="s">
        <v>38</v>
      </c>
      <c r="D316" s="3" t="s">
        <v>55</v>
      </c>
      <c r="E316" s="3" t="s">
        <v>116</v>
      </c>
      <c r="F316" s="3" t="s">
        <v>15</v>
      </c>
      <c r="G316" s="3">
        <v>4</v>
      </c>
      <c r="H316" s="3">
        <v>7901</v>
      </c>
      <c r="I316" s="3">
        <v>31604</v>
      </c>
      <c r="J316" s="3" t="s">
        <v>16</v>
      </c>
      <c r="K316" s="3" t="s">
        <v>42</v>
      </c>
    </row>
    <row r="317" spans="1:11" x14ac:dyDescent="0.3">
      <c r="A317" s="5" t="s">
        <v>588</v>
      </c>
      <c r="B317" s="6">
        <v>45787</v>
      </c>
      <c r="C317" s="5" t="s">
        <v>164</v>
      </c>
      <c r="D317" s="5" t="s">
        <v>55</v>
      </c>
      <c r="E317" s="5" t="s">
        <v>67</v>
      </c>
      <c r="F317" s="5" t="s">
        <v>68</v>
      </c>
      <c r="G317" s="5">
        <v>8</v>
      </c>
      <c r="H317" s="5">
        <v>463</v>
      </c>
      <c r="I317" s="5">
        <v>3704</v>
      </c>
      <c r="J317" s="5" t="s">
        <v>16</v>
      </c>
      <c r="K317" s="5" t="s">
        <v>81</v>
      </c>
    </row>
    <row r="318" spans="1:11" x14ac:dyDescent="0.3">
      <c r="A318" s="3" t="s">
        <v>589</v>
      </c>
      <c r="B318" s="4">
        <v>45863</v>
      </c>
      <c r="C318" s="3" t="s">
        <v>189</v>
      </c>
      <c r="D318" s="3" t="s">
        <v>13</v>
      </c>
      <c r="E318" s="3" t="s">
        <v>73</v>
      </c>
      <c r="F318" s="3" t="s">
        <v>68</v>
      </c>
      <c r="G318" s="3">
        <v>8</v>
      </c>
      <c r="H318" s="3">
        <v>1317</v>
      </c>
      <c r="I318" s="3">
        <v>10536</v>
      </c>
      <c r="J318" s="3" t="s">
        <v>16</v>
      </c>
      <c r="K318" s="3" t="s">
        <v>92</v>
      </c>
    </row>
    <row r="319" spans="1:11" x14ac:dyDescent="0.3">
      <c r="A319" s="5" t="s">
        <v>590</v>
      </c>
      <c r="B319" s="6">
        <v>45932</v>
      </c>
      <c r="C319" s="5" t="s">
        <v>174</v>
      </c>
      <c r="D319" s="5" t="s">
        <v>55</v>
      </c>
      <c r="E319" s="5" t="s">
        <v>67</v>
      </c>
      <c r="F319" s="5" t="s">
        <v>68</v>
      </c>
      <c r="G319" s="5">
        <v>1</v>
      </c>
      <c r="H319" s="5">
        <v>529</v>
      </c>
      <c r="I319" s="5">
        <v>529</v>
      </c>
      <c r="J319" s="5" t="s">
        <v>16</v>
      </c>
      <c r="K319" s="5" t="s">
        <v>64</v>
      </c>
    </row>
    <row r="320" spans="1:11" x14ac:dyDescent="0.3">
      <c r="A320" s="3" t="s">
        <v>591</v>
      </c>
      <c r="B320" s="4">
        <v>45946</v>
      </c>
      <c r="C320" s="3" t="s">
        <v>486</v>
      </c>
      <c r="D320" s="3" t="s">
        <v>55</v>
      </c>
      <c r="E320" s="3" t="s">
        <v>52</v>
      </c>
      <c r="F320" s="3" t="s">
        <v>15</v>
      </c>
      <c r="G320" s="3">
        <v>6</v>
      </c>
      <c r="H320" s="3">
        <v>23331</v>
      </c>
      <c r="I320" s="3">
        <v>139986</v>
      </c>
      <c r="J320" s="3" t="s">
        <v>16</v>
      </c>
      <c r="K320" s="3" t="s">
        <v>64</v>
      </c>
    </row>
    <row r="321" spans="1:11" x14ac:dyDescent="0.3">
      <c r="A321" s="5" t="s">
        <v>592</v>
      </c>
      <c r="B321" s="6">
        <v>45919</v>
      </c>
      <c r="C321" s="5" t="s">
        <v>593</v>
      </c>
      <c r="D321" s="5" t="s">
        <v>13</v>
      </c>
      <c r="E321" s="5" t="s">
        <v>45</v>
      </c>
      <c r="F321" s="5" t="s">
        <v>31</v>
      </c>
      <c r="G321" s="5">
        <v>2</v>
      </c>
      <c r="H321" s="5">
        <v>1623</v>
      </c>
      <c r="I321" s="5">
        <v>3246</v>
      </c>
      <c r="J321" s="5" t="s">
        <v>16</v>
      </c>
      <c r="K321" s="5" t="s">
        <v>92</v>
      </c>
    </row>
    <row r="322" spans="1:11" x14ac:dyDescent="0.3">
      <c r="A322" s="3" t="s">
        <v>594</v>
      </c>
      <c r="B322" s="4">
        <v>46005</v>
      </c>
      <c r="C322" s="3" t="s">
        <v>222</v>
      </c>
      <c r="D322" s="3" t="s">
        <v>13</v>
      </c>
      <c r="E322" s="3" t="s">
        <v>80</v>
      </c>
      <c r="F322" s="3" t="s">
        <v>25</v>
      </c>
      <c r="G322" s="3">
        <v>8</v>
      </c>
      <c r="H322" s="3">
        <v>2437</v>
      </c>
      <c r="I322" s="3">
        <v>19496</v>
      </c>
      <c r="J322" s="3" t="s">
        <v>16</v>
      </c>
      <c r="K322" s="3" t="s">
        <v>26</v>
      </c>
    </row>
    <row r="323" spans="1:11" x14ac:dyDescent="0.3">
      <c r="A323" s="5" t="s">
        <v>595</v>
      </c>
      <c r="B323" s="6">
        <v>45701</v>
      </c>
      <c r="C323" s="5" t="s">
        <v>253</v>
      </c>
      <c r="D323" s="5" t="s">
        <v>29</v>
      </c>
      <c r="E323" s="5" t="s">
        <v>30</v>
      </c>
      <c r="F323" s="5" t="s">
        <v>31</v>
      </c>
      <c r="G323" s="5">
        <v>8</v>
      </c>
      <c r="H323" s="5">
        <v>736</v>
      </c>
      <c r="I323" s="5">
        <v>5888</v>
      </c>
      <c r="J323" s="5" t="s">
        <v>16</v>
      </c>
      <c r="K323" s="5" t="s">
        <v>42</v>
      </c>
    </row>
    <row r="324" spans="1:11" x14ac:dyDescent="0.3">
      <c r="A324" s="3" t="s">
        <v>596</v>
      </c>
      <c r="B324" s="4">
        <v>45924</v>
      </c>
      <c r="C324" s="3" t="s">
        <v>597</v>
      </c>
      <c r="D324" s="3" t="s">
        <v>55</v>
      </c>
      <c r="E324" s="3" t="s">
        <v>113</v>
      </c>
      <c r="F324" s="3" t="s">
        <v>49</v>
      </c>
      <c r="G324" s="3">
        <v>5</v>
      </c>
      <c r="H324" s="3">
        <v>11623</v>
      </c>
      <c r="I324" s="3">
        <v>58115</v>
      </c>
      <c r="J324" s="3" t="s">
        <v>16</v>
      </c>
      <c r="K324" s="3" t="s">
        <v>61</v>
      </c>
    </row>
    <row r="325" spans="1:11" x14ac:dyDescent="0.3">
      <c r="A325" s="5" t="s">
        <v>598</v>
      </c>
      <c r="B325" s="6">
        <v>46021</v>
      </c>
      <c r="C325" s="5" t="s">
        <v>348</v>
      </c>
      <c r="D325" s="5" t="s">
        <v>29</v>
      </c>
      <c r="E325" s="5" t="s">
        <v>67</v>
      </c>
      <c r="F325" s="5" t="s">
        <v>68</v>
      </c>
      <c r="G325" s="5">
        <v>8</v>
      </c>
      <c r="H325" s="5">
        <v>481</v>
      </c>
      <c r="I325" s="5">
        <v>3848</v>
      </c>
      <c r="J325" s="5" t="s">
        <v>16</v>
      </c>
      <c r="K325" s="5" t="s">
        <v>39</v>
      </c>
    </row>
    <row r="326" spans="1:11" x14ac:dyDescent="0.3">
      <c r="A326" s="3" t="s">
        <v>599</v>
      </c>
      <c r="B326" s="4">
        <v>45827</v>
      </c>
      <c r="C326" s="3" t="s">
        <v>573</v>
      </c>
      <c r="D326" s="3" t="s">
        <v>55</v>
      </c>
      <c r="E326" s="3" t="s">
        <v>52</v>
      </c>
      <c r="F326" s="3" t="s">
        <v>15</v>
      </c>
      <c r="G326" s="3">
        <v>4</v>
      </c>
      <c r="H326" s="3">
        <v>25079</v>
      </c>
      <c r="I326" s="3">
        <v>100316</v>
      </c>
      <c r="J326" s="3" t="s">
        <v>16</v>
      </c>
      <c r="K326" s="3" t="s">
        <v>99</v>
      </c>
    </row>
    <row r="327" spans="1:11" x14ac:dyDescent="0.3">
      <c r="A327" s="5" t="s">
        <v>600</v>
      </c>
      <c r="B327" s="6">
        <v>45860</v>
      </c>
      <c r="C327" s="5" t="s">
        <v>187</v>
      </c>
      <c r="D327" s="5" t="s">
        <v>55</v>
      </c>
      <c r="E327" s="5" t="s">
        <v>113</v>
      </c>
      <c r="F327" s="5" t="s">
        <v>49</v>
      </c>
      <c r="G327" s="5">
        <v>3</v>
      </c>
      <c r="H327" s="5">
        <v>11247</v>
      </c>
      <c r="I327" s="5">
        <v>33741</v>
      </c>
      <c r="J327" s="5" t="s">
        <v>16</v>
      </c>
      <c r="K327" s="5" t="s">
        <v>26</v>
      </c>
    </row>
    <row r="328" spans="1:11" x14ac:dyDescent="0.3">
      <c r="A328" s="3" t="s">
        <v>601</v>
      </c>
      <c r="B328" s="4">
        <v>45767</v>
      </c>
      <c r="C328" s="3" t="s">
        <v>602</v>
      </c>
      <c r="D328" s="3" t="s">
        <v>13</v>
      </c>
      <c r="E328" s="3" t="s">
        <v>113</v>
      </c>
      <c r="F328" s="3" t="s">
        <v>49</v>
      </c>
      <c r="G328" s="3">
        <v>10</v>
      </c>
      <c r="H328" s="3">
        <v>11830</v>
      </c>
      <c r="I328" s="3">
        <v>118300</v>
      </c>
      <c r="J328" s="3" t="s">
        <v>16</v>
      </c>
      <c r="K328" s="3" t="s">
        <v>56</v>
      </c>
    </row>
    <row r="329" spans="1:11" x14ac:dyDescent="0.3">
      <c r="A329" s="5" t="s">
        <v>603</v>
      </c>
      <c r="B329" s="6">
        <v>45892</v>
      </c>
      <c r="C329" s="5" t="s">
        <v>348</v>
      </c>
      <c r="D329" s="5" t="s">
        <v>55</v>
      </c>
      <c r="E329" s="5" t="s">
        <v>20</v>
      </c>
      <c r="F329" s="5" t="s">
        <v>15</v>
      </c>
      <c r="G329" s="5">
        <v>9</v>
      </c>
      <c r="H329" s="5">
        <v>51556</v>
      </c>
      <c r="I329" s="5">
        <v>464004</v>
      </c>
      <c r="J329" s="5" t="s">
        <v>16</v>
      </c>
      <c r="K329" s="5" t="s">
        <v>56</v>
      </c>
    </row>
    <row r="330" spans="1:11" x14ac:dyDescent="0.3">
      <c r="A330" s="3" t="s">
        <v>604</v>
      </c>
      <c r="B330" s="4">
        <v>45958</v>
      </c>
      <c r="C330" s="3" t="s">
        <v>348</v>
      </c>
      <c r="D330" s="3" t="s">
        <v>13</v>
      </c>
      <c r="E330" s="3" t="s">
        <v>67</v>
      </c>
      <c r="F330" s="3" t="s">
        <v>68</v>
      </c>
      <c r="G330" s="3">
        <v>6</v>
      </c>
      <c r="H330" s="3">
        <v>509</v>
      </c>
      <c r="I330" s="3">
        <v>3054</v>
      </c>
      <c r="J330" s="3" t="s">
        <v>16</v>
      </c>
      <c r="K330" s="3" t="s">
        <v>61</v>
      </c>
    </row>
    <row r="331" spans="1:11" x14ac:dyDescent="0.3">
      <c r="A331" s="5" t="s">
        <v>605</v>
      </c>
      <c r="B331" s="6">
        <v>45810</v>
      </c>
      <c r="C331" s="5" t="s">
        <v>417</v>
      </c>
      <c r="D331" s="5" t="s">
        <v>29</v>
      </c>
      <c r="E331" s="5" t="s">
        <v>67</v>
      </c>
      <c r="F331" s="5" t="s">
        <v>68</v>
      </c>
      <c r="G331" s="5">
        <v>3</v>
      </c>
      <c r="H331" s="5">
        <v>531</v>
      </c>
      <c r="I331" s="5">
        <v>1593</v>
      </c>
      <c r="J331" s="5" t="s">
        <v>16</v>
      </c>
      <c r="K331" s="5" t="s">
        <v>89</v>
      </c>
    </row>
    <row r="332" spans="1:11" x14ac:dyDescent="0.3">
      <c r="A332" s="3" t="s">
        <v>606</v>
      </c>
      <c r="B332" s="4">
        <v>45849</v>
      </c>
      <c r="C332" s="3" t="s">
        <v>241</v>
      </c>
      <c r="D332" s="3" t="s">
        <v>59</v>
      </c>
      <c r="E332" s="3" t="s">
        <v>113</v>
      </c>
      <c r="F332" s="3" t="s">
        <v>49</v>
      </c>
      <c r="G332" s="3">
        <v>2</v>
      </c>
      <c r="H332" s="3">
        <v>11372</v>
      </c>
      <c r="I332" s="3">
        <v>22744</v>
      </c>
      <c r="J332" s="3" t="s">
        <v>16</v>
      </c>
      <c r="K332" s="3" t="s">
        <v>92</v>
      </c>
    </row>
    <row r="333" spans="1:11" x14ac:dyDescent="0.3">
      <c r="A333" s="5" t="s">
        <v>607</v>
      </c>
      <c r="B333" s="6">
        <v>45983</v>
      </c>
      <c r="C333" s="5" t="s">
        <v>154</v>
      </c>
      <c r="D333" s="5" t="s">
        <v>29</v>
      </c>
      <c r="E333" s="5" t="s">
        <v>80</v>
      </c>
      <c r="F333" s="5" t="s">
        <v>25</v>
      </c>
      <c r="G333" s="5">
        <v>10</v>
      </c>
      <c r="H333" s="5">
        <v>2441</v>
      </c>
      <c r="I333" s="5">
        <v>24410</v>
      </c>
      <c r="J333" s="5" t="s">
        <v>16</v>
      </c>
      <c r="K333" s="5" t="s">
        <v>26</v>
      </c>
    </row>
    <row r="334" spans="1:11" x14ac:dyDescent="0.3">
      <c r="A334" s="3" t="s">
        <v>608</v>
      </c>
      <c r="B334" s="4">
        <v>45819</v>
      </c>
      <c r="C334" s="3" t="s">
        <v>372</v>
      </c>
      <c r="D334" s="3" t="s">
        <v>55</v>
      </c>
      <c r="E334" s="3" t="s">
        <v>48</v>
      </c>
      <c r="F334" s="3" t="s">
        <v>49</v>
      </c>
      <c r="G334" s="3">
        <v>3</v>
      </c>
      <c r="H334" s="3">
        <v>8981</v>
      </c>
      <c r="I334" s="3">
        <v>26943</v>
      </c>
      <c r="J334" s="3" t="s">
        <v>16</v>
      </c>
      <c r="K334" s="3" t="s">
        <v>89</v>
      </c>
    </row>
    <row r="335" spans="1:11" x14ac:dyDescent="0.3">
      <c r="A335" s="5" t="s">
        <v>609</v>
      </c>
      <c r="B335" s="6">
        <v>45945</v>
      </c>
      <c r="C335" s="5" t="s">
        <v>610</v>
      </c>
      <c r="D335" s="5" t="s">
        <v>59</v>
      </c>
      <c r="E335" s="5" t="s">
        <v>30</v>
      </c>
      <c r="F335" s="5" t="s">
        <v>31</v>
      </c>
      <c r="G335" s="5">
        <v>8</v>
      </c>
      <c r="H335" s="5">
        <v>741</v>
      </c>
      <c r="I335" s="5">
        <v>5928</v>
      </c>
      <c r="J335" s="5" t="s">
        <v>16</v>
      </c>
      <c r="K335" s="5" t="s">
        <v>64</v>
      </c>
    </row>
    <row r="336" spans="1:11" x14ac:dyDescent="0.3">
      <c r="A336" s="3" t="s">
        <v>611</v>
      </c>
      <c r="B336" s="4">
        <v>45673</v>
      </c>
      <c r="C336" s="3" t="s">
        <v>350</v>
      </c>
      <c r="D336" s="3" t="s">
        <v>29</v>
      </c>
      <c r="E336" s="3" t="s">
        <v>98</v>
      </c>
      <c r="F336" s="3" t="s">
        <v>68</v>
      </c>
      <c r="G336" s="3">
        <v>8</v>
      </c>
      <c r="H336" s="3">
        <v>1795</v>
      </c>
      <c r="I336" s="3">
        <v>14360</v>
      </c>
      <c r="J336" s="3" t="s">
        <v>16</v>
      </c>
      <c r="K336" s="3" t="s">
        <v>56</v>
      </c>
    </row>
    <row r="337" spans="1:11" x14ac:dyDescent="0.3">
      <c r="A337" s="5" t="s">
        <v>612</v>
      </c>
      <c r="B337" s="6">
        <v>45911</v>
      </c>
      <c r="C337" s="5" t="s">
        <v>484</v>
      </c>
      <c r="D337" s="5" t="s">
        <v>59</v>
      </c>
      <c r="E337" s="5" t="s">
        <v>48</v>
      </c>
      <c r="F337" s="5" t="s">
        <v>49</v>
      </c>
      <c r="G337" s="5">
        <v>5</v>
      </c>
      <c r="H337" s="5">
        <v>8402</v>
      </c>
      <c r="I337" s="5">
        <v>42010</v>
      </c>
      <c r="J337" s="5" t="s">
        <v>16</v>
      </c>
      <c r="K337" s="5" t="s">
        <v>92</v>
      </c>
    </row>
    <row r="338" spans="1:11" x14ac:dyDescent="0.3">
      <c r="A338" s="3" t="s">
        <v>613</v>
      </c>
      <c r="B338" s="4">
        <v>45679</v>
      </c>
      <c r="C338" s="3" t="s">
        <v>294</v>
      </c>
      <c r="D338" s="3" t="s">
        <v>59</v>
      </c>
      <c r="E338" s="3" t="s">
        <v>14</v>
      </c>
      <c r="F338" s="3" t="s">
        <v>15</v>
      </c>
      <c r="G338" s="3">
        <v>9</v>
      </c>
      <c r="H338" s="3">
        <v>3193</v>
      </c>
      <c r="I338" s="3">
        <v>28737</v>
      </c>
      <c r="J338" s="3" t="s">
        <v>16</v>
      </c>
      <c r="K338" s="3" t="s">
        <v>92</v>
      </c>
    </row>
    <row r="339" spans="1:11" x14ac:dyDescent="0.3">
      <c r="A339" s="5" t="s">
        <v>614</v>
      </c>
      <c r="B339" s="6">
        <v>45888</v>
      </c>
      <c r="C339" s="5" t="s">
        <v>615</v>
      </c>
      <c r="D339" s="5" t="s">
        <v>59</v>
      </c>
      <c r="E339" s="5" t="s">
        <v>73</v>
      </c>
      <c r="F339" s="5" t="s">
        <v>68</v>
      </c>
      <c r="G339" s="5">
        <v>4</v>
      </c>
      <c r="H339" s="5">
        <v>1151</v>
      </c>
      <c r="I339" s="5">
        <v>4604</v>
      </c>
      <c r="J339" s="5" t="s">
        <v>128</v>
      </c>
      <c r="K339" s="5" t="s">
        <v>61</v>
      </c>
    </row>
    <row r="340" spans="1:11" x14ac:dyDescent="0.3">
      <c r="A340" s="3" t="s">
        <v>616</v>
      </c>
      <c r="B340" s="4">
        <v>45959</v>
      </c>
      <c r="C340" s="3" t="s">
        <v>195</v>
      </c>
      <c r="D340" s="3" t="s">
        <v>55</v>
      </c>
      <c r="E340" s="3" t="s">
        <v>116</v>
      </c>
      <c r="F340" s="3" t="s">
        <v>15</v>
      </c>
      <c r="G340" s="3">
        <v>2</v>
      </c>
      <c r="H340" s="3">
        <v>8441</v>
      </c>
      <c r="I340" s="3">
        <v>16882</v>
      </c>
      <c r="J340" s="3" t="s">
        <v>16</v>
      </c>
      <c r="K340" s="3" t="s">
        <v>42</v>
      </c>
    </row>
    <row r="341" spans="1:11" x14ac:dyDescent="0.3">
      <c r="A341" s="5" t="s">
        <v>617</v>
      </c>
      <c r="B341" s="6">
        <v>45763</v>
      </c>
      <c r="C341" s="5" t="s">
        <v>107</v>
      </c>
      <c r="D341" s="5" t="s">
        <v>13</v>
      </c>
      <c r="E341" s="5" t="s">
        <v>73</v>
      </c>
      <c r="F341" s="5" t="s">
        <v>68</v>
      </c>
      <c r="G341" s="5">
        <v>10</v>
      </c>
      <c r="H341" s="5">
        <v>1113</v>
      </c>
      <c r="I341" s="5">
        <v>11130</v>
      </c>
      <c r="J341" s="5" t="s">
        <v>16</v>
      </c>
      <c r="K341" s="5" t="s">
        <v>89</v>
      </c>
    </row>
    <row r="342" spans="1:11" x14ac:dyDescent="0.3">
      <c r="A342" s="3" t="s">
        <v>618</v>
      </c>
      <c r="B342" s="4">
        <v>45807</v>
      </c>
      <c r="C342" s="3" t="s">
        <v>357</v>
      </c>
      <c r="D342" s="3" t="s">
        <v>29</v>
      </c>
      <c r="E342" s="3" t="s">
        <v>34</v>
      </c>
      <c r="F342" s="3" t="s">
        <v>31</v>
      </c>
      <c r="G342" s="3">
        <v>9</v>
      </c>
      <c r="H342" s="3">
        <v>3267</v>
      </c>
      <c r="I342" s="3">
        <v>29403</v>
      </c>
      <c r="J342" s="3" t="s">
        <v>128</v>
      </c>
      <c r="K342" s="3" t="s">
        <v>89</v>
      </c>
    </row>
    <row r="343" spans="1:11" x14ac:dyDescent="0.3">
      <c r="A343" s="5" t="s">
        <v>619</v>
      </c>
      <c r="B343" s="6">
        <v>45868</v>
      </c>
      <c r="C343" s="5" t="s">
        <v>107</v>
      </c>
      <c r="D343" s="5" t="s">
        <v>59</v>
      </c>
      <c r="E343" s="5" t="s">
        <v>60</v>
      </c>
      <c r="F343" s="5" t="s">
        <v>25</v>
      </c>
      <c r="G343" s="5">
        <v>2</v>
      </c>
      <c r="H343" s="5">
        <v>1390</v>
      </c>
      <c r="I343" s="5">
        <v>2780</v>
      </c>
      <c r="J343" s="5" t="s">
        <v>16</v>
      </c>
      <c r="K343" s="5" t="s">
        <v>56</v>
      </c>
    </row>
    <row r="344" spans="1:11" x14ac:dyDescent="0.3">
      <c r="A344" s="3" t="s">
        <v>620</v>
      </c>
      <c r="B344" s="4">
        <v>45784</v>
      </c>
      <c r="C344" s="3" t="s">
        <v>300</v>
      </c>
      <c r="D344" s="3" t="s">
        <v>55</v>
      </c>
      <c r="E344" s="3" t="s">
        <v>48</v>
      </c>
      <c r="F344" s="3" t="s">
        <v>49</v>
      </c>
      <c r="G344" s="3">
        <v>3</v>
      </c>
      <c r="H344" s="3">
        <v>8549</v>
      </c>
      <c r="I344" s="3">
        <v>25647</v>
      </c>
      <c r="J344" s="3" t="s">
        <v>16</v>
      </c>
      <c r="K344" s="3" t="s">
        <v>99</v>
      </c>
    </row>
    <row r="345" spans="1:11" x14ac:dyDescent="0.3">
      <c r="A345" s="5" t="s">
        <v>621</v>
      </c>
      <c r="B345" s="6">
        <v>45696</v>
      </c>
      <c r="C345" s="5" t="s">
        <v>131</v>
      </c>
      <c r="D345" s="5" t="s">
        <v>29</v>
      </c>
      <c r="E345" s="5" t="s">
        <v>60</v>
      </c>
      <c r="F345" s="5" t="s">
        <v>25</v>
      </c>
      <c r="G345" s="5">
        <v>5</v>
      </c>
      <c r="H345" s="5">
        <v>1538</v>
      </c>
      <c r="I345" s="5">
        <v>7690</v>
      </c>
      <c r="J345" s="5" t="s">
        <v>16</v>
      </c>
      <c r="K345" s="5" t="s">
        <v>84</v>
      </c>
    </row>
    <row r="346" spans="1:11" x14ac:dyDescent="0.3">
      <c r="A346" s="3" t="s">
        <v>622</v>
      </c>
      <c r="B346" s="4">
        <v>45846</v>
      </c>
      <c r="C346" s="3" t="s">
        <v>330</v>
      </c>
      <c r="D346" s="3" t="s">
        <v>55</v>
      </c>
      <c r="E346" s="3" t="s">
        <v>116</v>
      </c>
      <c r="F346" s="3" t="s">
        <v>15</v>
      </c>
      <c r="G346" s="3">
        <v>9</v>
      </c>
      <c r="H346" s="3">
        <v>8399</v>
      </c>
      <c r="I346" s="3">
        <v>75591</v>
      </c>
      <c r="J346" s="3" t="s">
        <v>16</v>
      </c>
      <c r="K346" s="3" t="s">
        <v>95</v>
      </c>
    </row>
    <row r="347" spans="1:11" x14ac:dyDescent="0.3">
      <c r="A347" s="5" t="s">
        <v>623</v>
      </c>
      <c r="B347" s="6">
        <v>45690</v>
      </c>
      <c r="C347" s="5" t="s">
        <v>189</v>
      </c>
      <c r="D347" s="5" t="s">
        <v>59</v>
      </c>
      <c r="E347" s="5" t="s">
        <v>20</v>
      </c>
      <c r="F347" s="5" t="s">
        <v>15</v>
      </c>
      <c r="G347" s="5">
        <v>8</v>
      </c>
      <c r="H347" s="5">
        <v>56483</v>
      </c>
      <c r="I347" s="5">
        <v>451864</v>
      </c>
      <c r="J347" s="5" t="s">
        <v>16</v>
      </c>
      <c r="K347" s="5" t="s">
        <v>99</v>
      </c>
    </row>
    <row r="348" spans="1:11" x14ac:dyDescent="0.3">
      <c r="A348" s="3" t="s">
        <v>624</v>
      </c>
      <c r="B348" s="4">
        <v>45830</v>
      </c>
      <c r="C348" s="3" t="s">
        <v>625</v>
      </c>
      <c r="D348" s="3" t="s">
        <v>59</v>
      </c>
      <c r="E348" s="3" t="s">
        <v>73</v>
      </c>
      <c r="F348" s="3" t="s">
        <v>68</v>
      </c>
      <c r="G348" s="3">
        <v>8</v>
      </c>
      <c r="H348" s="3">
        <v>1144</v>
      </c>
      <c r="I348" s="3">
        <v>9152</v>
      </c>
      <c r="J348" s="3" t="s">
        <v>16</v>
      </c>
      <c r="K348" s="3" t="s">
        <v>89</v>
      </c>
    </row>
    <row r="349" spans="1:11" x14ac:dyDescent="0.3">
      <c r="A349" s="5" t="s">
        <v>626</v>
      </c>
      <c r="B349" s="6">
        <v>45893</v>
      </c>
      <c r="C349" s="5" t="s">
        <v>320</v>
      </c>
      <c r="D349" s="5" t="s">
        <v>59</v>
      </c>
      <c r="E349" s="5" t="s">
        <v>98</v>
      </c>
      <c r="F349" s="5" t="s">
        <v>68</v>
      </c>
      <c r="G349" s="5">
        <v>1</v>
      </c>
      <c r="H349" s="5">
        <v>1636</v>
      </c>
      <c r="I349" s="5">
        <v>1636</v>
      </c>
      <c r="J349" s="5" t="s">
        <v>16</v>
      </c>
      <c r="K349" s="5" t="s">
        <v>17</v>
      </c>
    </row>
    <row r="350" spans="1:11" x14ac:dyDescent="0.3">
      <c r="A350" s="3" t="s">
        <v>627</v>
      </c>
      <c r="B350" s="4">
        <v>45761</v>
      </c>
      <c r="C350" s="3" t="s">
        <v>296</v>
      </c>
      <c r="D350" s="3" t="s">
        <v>55</v>
      </c>
      <c r="E350" s="3" t="s">
        <v>113</v>
      </c>
      <c r="F350" s="3" t="s">
        <v>49</v>
      </c>
      <c r="G350" s="3">
        <v>8</v>
      </c>
      <c r="H350" s="3">
        <v>10801</v>
      </c>
      <c r="I350" s="3">
        <v>86408</v>
      </c>
      <c r="J350" s="3" t="s">
        <v>128</v>
      </c>
      <c r="K350" s="3" t="s">
        <v>36</v>
      </c>
    </row>
    <row r="351" spans="1:11" x14ac:dyDescent="0.3">
      <c r="A351" s="5" t="s">
        <v>628</v>
      </c>
      <c r="B351" s="6">
        <v>45848</v>
      </c>
      <c r="C351" s="5" t="s">
        <v>505</v>
      </c>
      <c r="D351" s="5" t="s">
        <v>13</v>
      </c>
      <c r="E351" s="5" t="s">
        <v>113</v>
      </c>
      <c r="F351" s="5" t="s">
        <v>49</v>
      </c>
      <c r="G351" s="5">
        <v>2</v>
      </c>
      <c r="H351" s="5">
        <v>12371</v>
      </c>
      <c r="I351" s="5">
        <v>24742</v>
      </c>
      <c r="J351" s="5" t="s">
        <v>16</v>
      </c>
      <c r="K351" s="5" t="s">
        <v>36</v>
      </c>
    </row>
    <row r="352" spans="1:11" x14ac:dyDescent="0.3">
      <c r="A352" s="3" t="s">
        <v>629</v>
      </c>
      <c r="B352" s="4">
        <v>45877</v>
      </c>
      <c r="C352" s="3" t="s">
        <v>162</v>
      </c>
      <c r="D352" s="3" t="s">
        <v>13</v>
      </c>
      <c r="E352" s="3" t="s">
        <v>116</v>
      </c>
      <c r="F352" s="3" t="s">
        <v>15</v>
      </c>
      <c r="G352" s="3">
        <v>5</v>
      </c>
      <c r="H352" s="3">
        <v>8361</v>
      </c>
      <c r="I352" s="3">
        <v>41805</v>
      </c>
      <c r="J352" s="3" t="s">
        <v>16</v>
      </c>
      <c r="K352" s="3" t="s">
        <v>17</v>
      </c>
    </row>
    <row r="353" spans="1:11" x14ac:dyDescent="0.3">
      <c r="A353" s="5" t="s">
        <v>630</v>
      </c>
      <c r="B353" s="6">
        <v>45923</v>
      </c>
      <c r="C353" s="5" t="s">
        <v>461</v>
      </c>
      <c r="D353" s="5" t="s">
        <v>13</v>
      </c>
      <c r="E353" s="5" t="s">
        <v>52</v>
      </c>
      <c r="F353" s="5" t="s">
        <v>15</v>
      </c>
      <c r="G353" s="5">
        <v>8</v>
      </c>
      <c r="H353" s="5">
        <v>22889</v>
      </c>
      <c r="I353" s="5">
        <v>183112</v>
      </c>
      <c r="J353" s="5" t="s">
        <v>16</v>
      </c>
      <c r="K353" s="5" t="s">
        <v>95</v>
      </c>
    </row>
    <row r="354" spans="1:11" x14ac:dyDescent="0.3">
      <c r="A354" s="3" t="s">
        <v>631</v>
      </c>
      <c r="B354" s="4">
        <v>45775</v>
      </c>
      <c r="C354" s="3" t="s">
        <v>632</v>
      </c>
      <c r="D354" s="3" t="s">
        <v>59</v>
      </c>
      <c r="E354" s="3" t="s">
        <v>30</v>
      </c>
      <c r="F354" s="3" t="s">
        <v>31</v>
      </c>
      <c r="G354" s="3">
        <v>7</v>
      </c>
      <c r="H354" s="3">
        <v>831</v>
      </c>
      <c r="I354" s="3">
        <v>5817</v>
      </c>
      <c r="J354" s="3" t="s">
        <v>16</v>
      </c>
      <c r="K354" s="3" t="s">
        <v>17</v>
      </c>
    </row>
    <row r="355" spans="1:11" x14ac:dyDescent="0.3">
      <c r="A355" s="5" t="s">
        <v>633</v>
      </c>
      <c r="B355" s="6">
        <v>45853</v>
      </c>
      <c r="C355" s="5" t="s">
        <v>634</v>
      </c>
      <c r="D355" s="5" t="s">
        <v>13</v>
      </c>
      <c r="E355" s="5" t="s">
        <v>20</v>
      </c>
      <c r="F355" s="5" t="s">
        <v>15</v>
      </c>
      <c r="G355" s="5">
        <v>6</v>
      </c>
      <c r="H355" s="5">
        <v>53543</v>
      </c>
      <c r="I355" s="5">
        <v>321258</v>
      </c>
      <c r="J355" s="5" t="s">
        <v>16</v>
      </c>
      <c r="K355" s="5" t="s">
        <v>64</v>
      </c>
    </row>
    <row r="356" spans="1:11" x14ac:dyDescent="0.3">
      <c r="A356" s="3" t="s">
        <v>635</v>
      </c>
      <c r="B356" s="4">
        <v>45742</v>
      </c>
      <c r="C356" s="3" t="s">
        <v>294</v>
      </c>
      <c r="D356" s="3" t="s">
        <v>55</v>
      </c>
      <c r="E356" s="3" t="s">
        <v>108</v>
      </c>
      <c r="F356" s="3" t="s">
        <v>49</v>
      </c>
      <c r="G356" s="3">
        <v>9</v>
      </c>
      <c r="H356" s="3">
        <v>7088</v>
      </c>
      <c r="I356" s="3">
        <v>63792</v>
      </c>
      <c r="J356" s="3" t="s">
        <v>16</v>
      </c>
      <c r="K356" s="3" t="s">
        <v>61</v>
      </c>
    </row>
    <row r="357" spans="1:11" x14ac:dyDescent="0.3">
      <c r="A357" s="5" t="s">
        <v>636</v>
      </c>
      <c r="B357" s="6">
        <v>45702</v>
      </c>
      <c r="C357" s="5" t="s">
        <v>637</v>
      </c>
      <c r="D357" s="5" t="s">
        <v>13</v>
      </c>
      <c r="E357" s="5" t="s">
        <v>113</v>
      </c>
      <c r="F357" s="5" t="s">
        <v>49</v>
      </c>
      <c r="G357" s="5">
        <v>10</v>
      </c>
      <c r="H357" s="5">
        <v>12447</v>
      </c>
      <c r="I357" s="5">
        <v>124470</v>
      </c>
      <c r="J357" s="5" t="s">
        <v>35</v>
      </c>
      <c r="K357" s="5" t="s">
        <v>81</v>
      </c>
    </row>
    <row r="358" spans="1:11" x14ac:dyDescent="0.3">
      <c r="A358" s="3" t="s">
        <v>638</v>
      </c>
      <c r="B358" s="4">
        <v>45729</v>
      </c>
      <c r="C358" s="3" t="s">
        <v>118</v>
      </c>
      <c r="D358" s="3" t="s">
        <v>55</v>
      </c>
      <c r="E358" s="3" t="s">
        <v>60</v>
      </c>
      <c r="F358" s="3" t="s">
        <v>25</v>
      </c>
      <c r="G358" s="3">
        <v>7</v>
      </c>
      <c r="H358" s="3">
        <v>1455</v>
      </c>
      <c r="I358" s="3">
        <v>10185</v>
      </c>
      <c r="J358" s="3" t="s">
        <v>16</v>
      </c>
      <c r="K358" s="3" t="s">
        <v>56</v>
      </c>
    </row>
    <row r="359" spans="1:11" x14ac:dyDescent="0.3">
      <c r="A359" s="5" t="s">
        <v>639</v>
      </c>
      <c r="B359" s="6">
        <v>46011</v>
      </c>
      <c r="C359" s="5" t="s">
        <v>571</v>
      </c>
      <c r="D359" s="5" t="s">
        <v>13</v>
      </c>
      <c r="E359" s="5" t="s">
        <v>48</v>
      </c>
      <c r="F359" s="5" t="s">
        <v>49</v>
      </c>
      <c r="G359" s="5">
        <v>10</v>
      </c>
      <c r="H359" s="5">
        <v>9180</v>
      </c>
      <c r="I359" s="5">
        <v>91800</v>
      </c>
      <c r="J359" s="5" t="s">
        <v>16</v>
      </c>
      <c r="K359" s="5" t="s">
        <v>42</v>
      </c>
    </row>
    <row r="360" spans="1:11" x14ac:dyDescent="0.3">
      <c r="A360" s="3" t="s">
        <v>640</v>
      </c>
      <c r="B360" s="4">
        <v>45858</v>
      </c>
      <c r="C360" s="3" t="s">
        <v>158</v>
      </c>
      <c r="D360" s="3" t="s">
        <v>55</v>
      </c>
      <c r="E360" s="3" t="s">
        <v>30</v>
      </c>
      <c r="F360" s="3" t="s">
        <v>31</v>
      </c>
      <c r="G360" s="3">
        <v>9</v>
      </c>
      <c r="H360" s="3">
        <v>817</v>
      </c>
      <c r="I360" s="3">
        <v>7353</v>
      </c>
      <c r="J360" s="3" t="s">
        <v>16</v>
      </c>
      <c r="K360" s="3" t="s">
        <v>64</v>
      </c>
    </row>
    <row r="361" spans="1:11" x14ac:dyDescent="0.3">
      <c r="A361" s="5" t="s">
        <v>641</v>
      </c>
      <c r="B361" s="6">
        <v>45962</v>
      </c>
      <c r="C361" s="5" t="s">
        <v>91</v>
      </c>
      <c r="D361" s="5" t="s">
        <v>59</v>
      </c>
      <c r="E361" s="5" t="s">
        <v>113</v>
      </c>
      <c r="F361" s="5" t="s">
        <v>49</v>
      </c>
      <c r="G361" s="5">
        <v>7</v>
      </c>
      <c r="H361" s="5">
        <v>11070</v>
      </c>
      <c r="I361" s="5">
        <v>77490</v>
      </c>
      <c r="J361" s="5" t="s">
        <v>16</v>
      </c>
      <c r="K361" s="5" t="s">
        <v>92</v>
      </c>
    </row>
    <row r="362" spans="1:11" x14ac:dyDescent="0.3">
      <c r="A362" s="3" t="s">
        <v>642</v>
      </c>
      <c r="B362" s="4">
        <v>45949</v>
      </c>
      <c r="C362" s="3" t="s">
        <v>643</v>
      </c>
      <c r="D362" s="3" t="s">
        <v>55</v>
      </c>
      <c r="E362" s="3" t="s">
        <v>14</v>
      </c>
      <c r="F362" s="3" t="s">
        <v>15</v>
      </c>
      <c r="G362" s="3">
        <v>6</v>
      </c>
      <c r="H362" s="3">
        <v>2779</v>
      </c>
      <c r="I362" s="3">
        <v>16674</v>
      </c>
      <c r="J362" s="3" t="s">
        <v>16</v>
      </c>
      <c r="K362" s="3" t="s">
        <v>61</v>
      </c>
    </row>
    <row r="363" spans="1:11" x14ac:dyDescent="0.3">
      <c r="A363" s="5" t="s">
        <v>644</v>
      </c>
      <c r="B363" s="6">
        <v>45792</v>
      </c>
      <c r="C363" s="5" t="s">
        <v>645</v>
      </c>
      <c r="D363" s="5" t="s">
        <v>29</v>
      </c>
      <c r="E363" s="5" t="s">
        <v>113</v>
      </c>
      <c r="F363" s="5" t="s">
        <v>49</v>
      </c>
      <c r="G363" s="5">
        <v>2</v>
      </c>
      <c r="H363" s="5">
        <v>10840</v>
      </c>
      <c r="I363" s="5">
        <v>21680</v>
      </c>
      <c r="J363" s="5" t="s">
        <v>16</v>
      </c>
      <c r="K363" s="5" t="s">
        <v>39</v>
      </c>
    </row>
    <row r="364" spans="1:11" x14ac:dyDescent="0.3">
      <c r="A364" s="3" t="s">
        <v>646</v>
      </c>
      <c r="B364" s="4">
        <v>45870</v>
      </c>
      <c r="C364" s="3" t="s">
        <v>97</v>
      </c>
      <c r="D364" s="3" t="s">
        <v>55</v>
      </c>
      <c r="E364" s="3" t="s">
        <v>67</v>
      </c>
      <c r="F364" s="3" t="s">
        <v>68</v>
      </c>
      <c r="G364" s="3">
        <v>5</v>
      </c>
      <c r="H364" s="3">
        <v>512</v>
      </c>
      <c r="I364" s="3">
        <v>2560</v>
      </c>
      <c r="J364" s="3" t="s">
        <v>16</v>
      </c>
      <c r="K364" s="3" t="s">
        <v>26</v>
      </c>
    </row>
    <row r="365" spans="1:11" x14ac:dyDescent="0.3">
      <c r="A365" s="5" t="s">
        <v>647</v>
      </c>
      <c r="B365" s="6">
        <v>45698</v>
      </c>
      <c r="C365" s="5" t="s">
        <v>152</v>
      </c>
      <c r="D365" s="5" t="s">
        <v>29</v>
      </c>
      <c r="E365" s="5" t="s">
        <v>60</v>
      </c>
      <c r="F365" s="5" t="s">
        <v>25</v>
      </c>
      <c r="G365" s="5">
        <v>10</v>
      </c>
      <c r="H365" s="5">
        <v>1395</v>
      </c>
      <c r="I365" s="5">
        <v>13950</v>
      </c>
      <c r="J365" s="5" t="s">
        <v>16</v>
      </c>
      <c r="K365" s="5" t="s">
        <v>36</v>
      </c>
    </row>
    <row r="366" spans="1:11" x14ac:dyDescent="0.3">
      <c r="A366" s="3" t="s">
        <v>648</v>
      </c>
      <c r="B366" s="4">
        <v>45990</v>
      </c>
      <c r="C366" s="3" t="s">
        <v>461</v>
      </c>
      <c r="D366" s="3" t="s">
        <v>59</v>
      </c>
      <c r="E366" s="3" t="s">
        <v>48</v>
      </c>
      <c r="F366" s="3" t="s">
        <v>49</v>
      </c>
      <c r="G366" s="3">
        <v>6</v>
      </c>
      <c r="H366" s="3">
        <v>8803</v>
      </c>
      <c r="I366" s="3">
        <v>52818</v>
      </c>
      <c r="J366" s="3" t="s">
        <v>16</v>
      </c>
      <c r="K366" s="3" t="s">
        <v>64</v>
      </c>
    </row>
    <row r="367" spans="1:11" x14ac:dyDescent="0.3">
      <c r="A367" s="5" t="s">
        <v>649</v>
      </c>
      <c r="B367" s="6">
        <v>45880</v>
      </c>
      <c r="C367" s="5" t="s">
        <v>253</v>
      </c>
      <c r="D367" s="5" t="s">
        <v>59</v>
      </c>
      <c r="E367" s="5" t="s">
        <v>67</v>
      </c>
      <c r="F367" s="5" t="s">
        <v>68</v>
      </c>
      <c r="G367" s="5">
        <v>4</v>
      </c>
      <c r="H367" s="5">
        <v>455</v>
      </c>
      <c r="I367" s="5">
        <v>1820</v>
      </c>
      <c r="J367" s="5" t="s">
        <v>16</v>
      </c>
      <c r="K367" s="5" t="s">
        <v>95</v>
      </c>
    </row>
    <row r="368" spans="1:11" x14ac:dyDescent="0.3">
      <c r="A368" s="3" t="s">
        <v>650</v>
      </c>
      <c r="B368" s="4">
        <v>46017</v>
      </c>
      <c r="C368" s="3" t="s">
        <v>651</v>
      </c>
      <c r="D368" s="3" t="s">
        <v>13</v>
      </c>
      <c r="E368" s="3" t="s">
        <v>14</v>
      </c>
      <c r="F368" s="3" t="s">
        <v>15</v>
      </c>
      <c r="G368" s="3">
        <v>3</v>
      </c>
      <c r="H368" s="3">
        <v>2771</v>
      </c>
      <c r="I368" s="3">
        <v>8313</v>
      </c>
      <c r="J368" s="3" t="s">
        <v>16</v>
      </c>
      <c r="K368" s="3" t="s">
        <v>81</v>
      </c>
    </row>
    <row r="369" spans="1:11" x14ac:dyDescent="0.3">
      <c r="A369" s="5" t="s">
        <v>652</v>
      </c>
      <c r="B369" s="6">
        <v>45743</v>
      </c>
      <c r="C369" s="5" t="s">
        <v>391</v>
      </c>
      <c r="D369" s="5" t="s">
        <v>29</v>
      </c>
      <c r="E369" s="5" t="s">
        <v>34</v>
      </c>
      <c r="F369" s="5" t="s">
        <v>31</v>
      </c>
      <c r="G369" s="5">
        <v>9</v>
      </c>
      <c r="H369" s="5">
        <v>3698</v>
      </c>
      <c r="I369" s="5">
        <v>33282</v>
      </c>
      <c r="J369" s="5" t="s">
        <v>35</v>
      </c>
      <c r="K369" s="5" t="s">
        <v>81</v>
      </c>
    </row>
    <row r="370" spans="1:11" x14ac:dyDescent="0.3">
      <c r="A370" s="3" t="s">
        <v>653</v>
      </c>
      <c r="B370" s="4">
        <v>45877</v>
      </c>
      <c r="C370" s="3" t="s">
        <v>346</v>
      </c>
      <c r="D370" s="3" t="s">
        <v>13</v>
      </c>
      <c r="E370" s="3" t="s">
        <v>34</v>
      </c>
      <c r="F370" s="3" t="s">
        <v>31</v>
      </c>
      <c r="G370" s="3">
        <v>2</v>
      </c>
      <c r="H370" s="3">
        <v>3690</v>
      </c>
      <c r="I370" s="3">
        <v>7380</v>
      </c>
      <c r="J370" s="3" t="s">
        <v>16</v>
      </c>
      <c r="K370" s="3" t="s">
        <v>92</v>
      </c>
    </row>
    <row r="371" spans="1:11" x14ac:dyDescent="0.3">
      <c r="A371" s="5" t="s">
        <v>654</v>
      </c>
      <c r="B371" s="6">
        <v>45686</v>
      </c>
      <c r="C371" s="5" t="s">
        <v>260</v>
      </c>
      <c r="D371" s="5" t="s">
        <v>59</v>
      </c>
      <c r="E371" s="5" t="s">
        <v>60</v>
      </c>
      <c r="F371" s="5" t="s">
        <v>25</v>
      </c>
      <c r="G371" s="5">
        <v>2</v>
      </c>
      <c r="H371" s="5">
        <v>1498</v>
      </c>
      <c r="I371" s="5">
        <v>2996</v>
      </c>
      <c r="J371" s="5" t="s">
        <v>16</v>
      </c>
      <c r="K371" s="5" t="s">
        <v>42</v>
      </c>
    </row>
    <row r="372" spans="1:11" x14ac:dyDescent="0.3">
      <c r="A372" s="3" t="s">
        <v>655</v>
      </c>
      <c r="B372" s="4">
        <v>46003</v>
      </c>
      <c r="C372" s="3" t="s">
        <v>253</v>
      </c>
      <c r="D372" s="3" t="s">
        <v>13</v>
      </c>
      <c r="E372" s="3" t="s">
        <v>30</v>
      </c>
      <c r="F372" s="3" t="s">
        <v>31</v>
      </c>
      <c r="G372" s="3">
        <v>5</v>
      </c>
      <c r="H372" s="3">
        <v>843</v>
      </c>
      <c r="I372" s="3">
        <v>4215</v>
      </c>
      <c r="J372" s="3" t="s">
        <v>128</v>
      </c>
      <c r="K372" s="3" t="s">
        <v>21</v>
      </c>
    </row>
    <row r="373" spans="1:11" x14ac:dyDescent="0.3">
      <c r="A373" s="5" t="s">
        <v>656</v>
      </c>
      <c r="B373" s="6">
        <v>45854</v>
      </c>
      <c r="C373" s="5" t="s">
        <v>657</v>
      </c>
      <c r="D373" s="5" t="s">
        <v>13</v>
      </c>
      <c r="E373" s="5" t="s">
        <v>20</v>
      </c>
      <c r="F373" s="5" t="s">
        <v>15</v>
      </c>
      <c r="G373" s="5">
        <v>1</v>
      </c>
      <c r="H373" s="5">
        <v>52190</v>
      </c>
      <c r="I373" s="5">
        <v>52190</v>
      </c>
      <c r="J373" s="5" t="s">
        <v>16</v>
      </c>
      <c r="K373" s="5" t="s">
        <v>81</v>
      </c>
    </row>
    <row r="374" spans="1:11" x14ac:dyDescent="0.3">
      <c r="A374" s="3" t="s">
        <v>658</v>
      </c>
      <c r="B374" s="4">
        <v>45821</v>
      </c>
      <c r="C374" s="3" t="s">
        <v>569</v>
      </c>
      <c r="D374" s="3" t="s">
        <v>55</v>
      </c>
      <c r="E374" s="3" t="s">
        <v>116</v>
      </c>
      <c r="F374" s="3" t="s">
        <v>15</v>
      </c>
      <c r="G374" s="3">
        <v>4</v>
      </c>
      <c r="H374" s="3">
        <v>7714</v>
      </c>
      <c r="I374" s="3">
        <v>30856</v>
      </c>
      <c r="J374" s="3" t="s">
        <v>16</v>
      </c>
      <c r="K374" s="3" t="s">
        <v>42</v>
      </c>
    </row>
    <row r="375" spans="1:11" x14ac:dyDescent="0.3">
      <c r="A375" s="5" t="s">
        <v>659</v>
      </c>
      <c r="B375" s="6">
        <v>45772</v>
      </c>
      <c r="C375" s="5" t="s">
        <v>660</v>
      </c>
      <c r="D375" s="5" t="s">
        <v>59</v>
      </c>
      <c r="E375" s="5" t="s">
        <v>30</v>
      </c>
      <c r="F375" s="5" t="s">
        <v>31</v>
      </c>
      <c r="G375" s="5">
        <v>9</v>
      </c>
      <c r="H375" s="5">
        <v>827</v>
      </c>
      <c r="I375" s="5">
        <v>7443</v>
      </c>
      <c r="J375" s="5" t="s">
        <v>16</v>
      </c>
      <c r="K375" s="5" t="s">
        <v>39</v>
      </c>
    </row>
    <row r="376" spans="1:11" x14ac:dyDescent="0.3">
      <c r="A376" s="3" t="s">
        <v>661</v>
      </c>
      <c r="B376" s="4">
        <v>45702</v>
      </c>
      <c r="C376" s="3" t="s">
        <v>662</v>
      </c>
      <c r="D376" s="3" t="s">
        <v>55</v>
      </c>
      <c r="E376" s="3" t="s">
        <v>116</v>
      </c>
      <c r="F376" s="3" t="s">
        <v>15</v>
      </c>
      <c r="G376" s="3">
        <v>5</v>
      </c>
      <c r="H376" s="3">
        <v>8437</v>
      </c>
      <c r="I376" s="3">
        <v>42185</v>
      </c>
      <c r="J376" s="3" t="s">
        <v>16</v>
      </c>
      <c r="K376" s="3" t="s">
        <v>95</v>
      </c>
    </row>
    <row r="377" spans="1:11" x14ac:dyDescent="0.3">
      <c r="A377" s="5" t="s">
        <v>663</v>
      </c>
      <c r="B377" s="6">
        <v>45782</v>
      </c>
      <c r="C377" s="5" t="s">
        <v>172</v>
      </c>
      <c r="D377" s="5" t="s">
        <v>59</v>
      </c>
      <c r="E377" s="5" t="s">
        <v>113</v>
      </c>
      <c r="F377" s="5" t="s">
        <v>49</v>
      </c>
      <c r="G377" s="5">
        <v>10</v>
      </c>
      <c r="H377" s="5">
        <v>12682</v>
      </c>
      <c r="I377" s="5">
        <v>126820</v>
      </c>
      <c r="J377" s="5" t="s">
        <v>16</v>
      </c>
      <c r="K377" s="5" t="s">
        <v>61</v>
      </c>
    </row>
    <row r="378" spans="1:11" x14ac:dyDescent="0.3">
      <c r="A378" s="3" t="s">
        <v>664</v>
      </c>
      <c r="B378" s="4">
        <v>45661</v>
      </c>
      <c r="C378" s="3" t="s">
        <v>271</v>
      </c>
      <c r="D378" s="3" t="s">
        <v>13</v>
      </c>
      <c r="E378" s="3" t="s">
        <v>73</v>
      </c>
      <c r="F378" s="3" t="s">
        <v>68</v>
      </c>
      <c r="G378" s="3">
        <v>9</v>
      </c>
      <c r="H378" s="3">
        <v>1262</v>
      </c>
      <c r="I378" s="3">
        <v>11358</v>
      </c>
      <c r="J378" s="3" t="s">
        <v>16</v>
      </c>
      <c r="K378" s="3" t="s">
        <v>39</v>
      </c>
    </row>
    <row r="379" spans="1:11" x14ac:dyDescent="0.3">
      <c r="A379" s="5" t="s">
        <v>665</v>
      </c>
      <c r="B379" s="6">
        <v>45994</v>
      </c>
      <c r="C379" s="5" t="s">
        <v>380</v>
      </c>
      <c r="D379" s="5" t="s">
        <v>59</v>
      </c>
      <c r="E379" s="5" t="s">
        <v>34</v>
      </c>
      <c r="F379" s="5" t="s">
        <v>31</v>
      </c>
      <c r="G379" s="5">
        <v>1</v>
      </c>
      <c r="H379" s="5">
        <v>3815</v>
      </c>
      <c r="I379" s="5">
        <v>3815</v>
      </c>
      <c r="J379" s="5" t="s">
        <v>16</v>
      </c>
      <c r="K379" s="5" t="s">
        <v>42</v>
      </c>
    </row>
    <row r="380" spans="1:11" x14ac:dyDescent="0.3">
      <c r="A380" s="3" t="s">
        <v>666</v>
      </c>
      <c r="B380" s="4">
        <v>45909</v>
      </c>
      <c r="C380" s="3" t="s">
        <v>107</v>
      </c>
      <c r="D380" s="3" t="s">
        <v>13</v>
      </c>
      <c r="E380" s="3" t="s">
        <v>30</v>
      </c>
      <c r="F380" s="3" t="s">
        <v>31</v>
      </c>
      <c r="G380" s="3">
        <v>4</v>
      </c>
      <c r="H380" s="3">
        <v>804</v>
      </c>
      <c r="I380" s="3">
        <v>3216</v>
      </c>
      <c r="J380" s="3" t="s">
        <v>16</v>
      </c>
      <c r="K380" s="3" t="s">
        <v>81</v>
      </c>
    </row>
    <row r="381" spans="1:11" x14ac:dyDescent="0.3">
      <c r="A381" s="5" t="s">
        <v>667</v>
      </c>
      <c r="B381" s="6">
        <v>46016</v>
      </c>
      <c r="C381" s="5" t="s">
        <v>391</v>
      </c>
      <c r="D381" s="5" t="s">
        <v>13</v>
      </c>
      <c r="E381" s="5" t="s">
        <v>20</v>
      </c>
      <c r="F381" s="5" t="s">
        <v>15</v>
      </c>
      <c r="G381" s="5">
        <v>4</v>
      </c>
      <c r="H381" s="5">
        <v>59370</v>
      </c>
      <c r="I381" s="5">
        <v>237480</v>
      </c>
      <c r="J381" s="5" t="s">
        <v>16</v>
      </c>
      <c r="K381" s="5" t="s">
        <v>95</v>
      </c>
    </row>
    <row r="382" spans="1:11" x14ac:dyDescent="0.3">
      <c r="A382" s="3" t="s">
        <v>668</v>
      </c>
      <c r="B382" s="4">
        <v>45696</v>
      </c>
      <c r="C382" s="3" t="s">
        <v>669</v>
      </c>
      <c r="D382" s="3" t="s">
        <v>55</v>
      </c>
      <c r="E382" s="3" t="s">
        <v>20</v>
      </c>
      <c r="F382" s="3" t="s">
        <v>15</v>
      </c>
      <c r="G382" s="3">
        <v>9</v>
      </c>
      <c r="H382" s="3">
        <v>50968</v>
      </c>
      <c r="I382" s="3">
        <v>458712</v>
      </c>
      <c r="J382" s="3" t="s">
        <v>16</v>
      </c>
      <c r="K382" s="3" t="s">
        <v>89</v>
      </c>
    </row>
    <row r="383" spans="1:11" x14ac:dyDescent="0.3">
      <c r="A383" s="5" t="s">
        <v>670</v>
      </c>
      <c r="B383" s="6">
        <v>45859</v>
      </c>
      <c r="C383" s="5" t="s">
        <v>671</v>
      </c>
      <c r="D383" s="5" t="s">
        <v>59</v>
      </c>
      <c r="E383" s="5" t="s">
        <v>108</v>
      </c>
      <c r="F383" s="5" t="s">
        <v>49</v>
      </c>
      <c r="G383" s="5">
        <v>5</v>
      </c>
      <c r="H383" s="5">
        <v>6665</v>
      </c>
      <c r="I383" s="5">
        <v>33325</v>
      </c>
      <c r="J383" s="5" t="s">
        <v>16</v>
      </c>
      <c r="K383" s="5" t="s">
        <v>61</v>
      </c>
    </row>
    <row r="384" spans="1:11" x14ac:dyDescent="0.3">
      <c r="A384" s="3" t="s">
        <v>672</v>
      </c>
      <c r="B384" s="4">
        <v>45713</v>
      </c>
      <c r="C384" s="3" t="s">
        <v>673</v>
      </c>
      <c r="D384" s="3" t="s">
        <v>29</v>
      </c>
      <c r="E384" s="3" t="s">
        <v>108</v>
      </c>
      <c r="F384" s="3" t="s">
        <v>49</v>
      </c>
      <c r="G384" s="3">
        <v>4</v>
      </c>
      <c r="H384" s="3">
        <v>6490</v>
      </c>
      <c r="I384" s="3">
        <v>25960</v>
      </c>
      <c r="J384" s="3" t="s">
        <v>35</v>
      </c>
      <c r="K384" s="3" t="s">
        <v>17</v>
      </c>
    </row>
    <row r="385" spans="1:11" x14ac:dyDescent="0.3">
      <c r="A385" s="5" t="s">
        <v>674</v>
      </c>
      <c r="B385" s="6">
        <v>45764</v>
      </c>
      <c r="C385" s="5" t="s">
        <v>425</v>
      </c>
      <c r="D385" s="5" t="s">
        <v>59</v>
      </c>
      <c r="E385" s="5" t="s">
        <v>98</v>
      </c>
      <c r="F385" s="5" t="s">
        <v>68</v>
      </c>
      <c r="G385" s="5">
        <v>7</v>
      </c>
      <c r="H385" s="5">
        <v>1663</v>
      </c>
      <c r="I385" s="5">
        <v>11641</v>
      </c>
      <c r="J385" s="5" t="s">
        <v>16</v>
      </c>
      <c r="K385" s="5" t="s">
        <v>56</v>
      </c>
    </row>
    <row r="386" spans="1:11" x14ac:dyDescent="0.3">
      <c r="A386" s="3" t="s">
        <v>675</v>
      </c>
      <c r="B386" s="4">
        <v>46018</v>
      </c>
      <c r="C386" s="3" t="s">
        <v>533</v>
      </c>
      <c r="D386" s="3" t="s">
        <v>29</v>
      </c>
      <c r="E386" s="3" t="s">
        <v>20</v>
      </c>
      <c r="F386" s="3" t="s">
        <v>15</v>
      </c>
      <c r="G386" s="3">
        <v>3</v>
      </c>
      <c r="H386" s="3">
        <v>58383</v>
      </c>
      <c r="I386" s="3">
        <v>175149</v>
      </c>
      <c r="J386" s="3" t="s">
        <v>16</v>
      </c>
      <c r="K386" s="3" t="s">
        <v>39</v>
      </c>
    </row>
    <row r="387" spans="1:11" x14ac:dyDescent="0.3">
      <c r="A387" s="5" t="s">
        <v>676</v>
      </c>
      <c r="B387" s="6">
        <v>45860</v>
      </c>
      <c r="C387" s="5" t="s">
        <v>393</v>
      </c>
      <c r="D387" s="5" t="s">
        <v>59</v>
      </c>
      <c r="E387" s="5" t="s">
        <v>30</v>
      </c>
      <c r="F387" s="5" t="s">
        <v>31</v>
      </c>
      <c r="G387" s="5">
        <v>2</v>
      </c>
      <c r="H387" s="5">
        <v>833</v>
      </c>
      <c r="I387" s="5">
        <v>1666</v>
      </c>
      <c r="J387" s="5" t="s">
        <v>128</v>
      </c>
      <c r="K387" s="5" t="s">
        <v>39</v>
      </c>
    </row>
    <row r="388" spans="1:11" x14ac:dyDescent="0.3">
      <c r="A388" s="3" t="s">
        <v>677</v>
      </c>
      <c r="B388" s="4">
        <v>45942</v>
      </c>
      <c r="C388" s="3" t="s">
        <v>484</v>
      </c>
      <c r="D388" s="3" t="s">
        <v>13</v>
      </c>
      <c r="E388" s="3" t="s">
        <v>30</v>
      </c>
      <c r="F388" s="3" t="s">
        <v>31</v>
      </c>
      <c r="G388" s="3">
        <v>1</v>
      </c>
      <c r="H388" s="3">
        <v>872</v>
      </c>
      <c r="I388" s="3">
        <v>872</v>
      </c>
      <c r="J388" s="3" t="s">
        <v>35</v>
      </c>
      <c r="K388" s="3" t="s">
        <v>21</v>
      </c>
    </row>
    <row r="389" spans="1:11" x14ac:dyDescent="0.3">
      <c r="A389" s="5" t="s">
        <v>678</v>
      </c>
      <c r="B389" s="6">
        <v>45771</v>
      </c>
      <c r="C389" s="5" t="s">
        <v>430</v>
      </c>
      <c r="D389" s="5" t="s">
        <v>59</v>
      </c>
      <c r="E389" s="5" t="s">
        <v>52</v>
      </c>
      <c r="F389" s="5" t="s">
        <v>15</v>
      </c>
      <c r="G389" s="5">
        <v>2</v>
      </c>
      <c r="H389" s="5">
        <v>22559</v>
      </c>
      <c r="I389" s="5">
        <v>45118</v>
      </c>
      <c r="J389" s="5" t="s">
        <v>16</v>
      </c>
      <c r="K389" s="5" t="s">
        <v>21</v>
      </c>
    </row>
    <row r="390" spans="1:11" x14ac:dyDescent="0.3">
      <c r="A390" s="3" t="s">
        <v>679</v>
      </c>
      <c r="B390" s="4">
        <v>45696</v>
      </c>
      <c r="C390" s="3" t="s">
        <v>454</v>
      </c>
      <c r="D390" s="3" t="s">
        <v>55</v>
      </c>
      <c r="E390" s="3" t="s">
        <v>34</v>
      </c>
      <c r="F390" s="3" t="s">
        <v>31</v>
      </c>
      <c r="G390" s="3">
        <v>2</v>
      </c>
      <c r="H390" s="3">
        <v>3557</v>
      </c>
      <c r="I390" s="3">
        <v>7114</v>
      </c>
      <c r="J390" s="3" t="s">
        <v>16</v>
      </c>
      <c r="K390" s="3" t="s">
        <v>17</v>
      </c>
    </row>
    <row r="391" spans="1:11" x14ac:dyDescent="0.3">
      <c r="A391" s="5" t="s">
        <v>680</v>
      </c>
      <c r="B391" s="6">
        <v>45827</v>
      </c>
      <c r="C391" s="5" t="s">
        <v>681</v>
      </c>
      <c r="D391" s="5" t="s">
        <v>59</v>
      </c>
      <c r="E391" s="5" t="s">
        <v>73</v>
      </c>
      <c r="F391" s="5" t="s">
        <v>68</v>
      </c>
      <c r="G391" s="5">
        <v>2</v>
      </c>
      <c r="H391" s="5">
        <v>1297</v>
      </c>
      <c r="I391" s="5">
        <v>2594</v>
      </c>
      <c r="J391" s="5" t="s">
        <v>16</v>
      </c>
      <c r="K391" s="5" t="s">
        <v>39</v>
      </c>
    </row>
    <row r="392" spans="1:11" x14ac:dyDescent="0.3">
      <c r="A392" s="3" t="s">
        <v>682</v>
      </c>
      <c r="B392" s="4">
        <v>45912</v>
      </c>
      <c r="C392" s="3" t="s">
        <v>445</v>
      </c>
      <c r="D392" s="3" t="s">
        <v>55</v>
      </c>
      <c r="E392" s="3" t="s">
        <v>52</v>
      </c>
      <c r="F392" s="3" t="s">
        <v>15</v>
      </c>
      <c r="G392" s="3">
        <v>10</v>
      </c>
      <c r="H392" s="3">
        <v>24665</v>
      </c>
      <c r="I392" s="3">
        <v>246650</v>
      </c>
      <c r="J392" s="3" t="s">
        <v>16</v>
      </c>
      <c r="K392" s="3" t="s">
        <v>99</v>
      </c>
    </row>
    <row r="393" spans="1:11" x14ac:dyDescent="0.3">
      <c r="A393" s="5" t="s">
        <v>683</v>
      </c>
      <c r="B393" s="6">
        <v>45886</v>
      </c>
      <c r="C393" s="5" t="s">
        <v>657</v>
      </c>
      <c r="D393" s="5" t="s">
        <v>13</v>
      </c>
      <c r="E393" s="5" t="s">
        <v>113</v>
      </c>
      <c r="F393" s="5" t="s">
        <v>49</v>
      </c>
      <c r="G393" s="5">
        <v>4</v>
      </c>
      <c r="H393" s="5">
        <v>12979</v>
      </c>
      <c r="I393" s="5">
        <v>51916</v>
      </c>
      <c r="J393" s="5" t="s">
        <v>16</v>
      </c>
      <c r="K393" s="5" t="s">
        <v>39</v>
      </c>
    </row>
    <row r="394" spans="1:11" x14ac:dyDescent="0.3">
      <c r="A394" s="3" t="s">
        <v>684</v>
      </c>
      <c r="B394" s="4">
        <v>45903</v>
      </c>
      <c r="C394" s="3" t="s">
        <v>112</v>
      </c>
      <c r="D394" s="3" t="s">
        <v>13</v>
      </c>
      <c r="E394" s="3" t="s">
        <v>80</v>
      </c>
      <c r="F394" s="3" t="s">
        <v>25</v>
      </c>
      <c r="G394" s="3">
        <v>5</v>
      </c>
      <c r="H394" s="3">
        <v>2499</v>
      </c>
      <c r="I394" s="3">
        <v>12495</v>
      </c>
      <c r="J394" s="3" t="s">
        <v>128</v>
      </c>
      <c r="K394" s="3" t="s">
        <v>17</v>
      </c>
    </row>
    <row r="395" spans="1:11" x14ac:dyDescent="0.3">
      <c r="A395" s="5" t="s">
        <v>685</v>
      </c>
      <c r="B395" s="6">
        <v>45785</v>
      </c>
      <c r="C395" s="5" t="s">
        <v>686</v>
      </c>
      <c r="D395" s="5" t="s">
        <v>59</v>
      </c>
      <c r="E395" s="5" t="s">
        <v>113</v>
      </c>
      <c r="F395" s="5" t="s">
        <v>49</v>
      </c>
      <c r="G395" s="5">
        <v>4</v>
      </c>
      <c r="H395" s="5">
        <v>12342</v>
      </c>
      <c r="I395" s="5">
        <v>49368</v>
      </c>
      <c r="J395" s="5" t="s">
        <v>16</v>
      </c>
      <c r="K395" s="5" t="s">
        <v>84</v>
      </c>
    </row>
    <row r="396" spans="1:11" x14ac:dyDescent="0.3">
      <c r="A396" s="3" t="s">
        <v>687</v>
      </c>
      <c r="B396" s="4">
        <v>45834</v>
      </c>
      <c r="C396" s="3" t="s">
        <v>315</v>
      </c>
      <c r="D396" s="3" t="s">
        <v>29</v>
      </c>
      <c r="E396" s="3" t="s">
        <v>116</v>
      </c>
      <c r="F396" s="3" t="s">
        <v>15</v>
      </c>
      <c r="G396" s="3">
        <v>6</v>
      </c>
      <c r="H396" s="3">
        <v>7967</v>
      </c>
      <c r="I396" s="3">
        <v>47802</v>
      </c>
      <c r="J396" s="3" t="s">
        <v>35</v>
      </c>
      <c r="K396" s="3" t="s">
        <v>92</v>
      </c>
    </row>
    <row r="397" spans="1:11" x14ac:dyDescent="0.3">
      <c r="A397" s="5" t="s">
        <v>688</v>
      </c>
      <c r="B397" s="6">
        <v>45801</v>
      </c>
      <c r="C397" s="5" t="s">
        <v>510</v>
      </c>
      <c r="D397" s="5" t="s">
        <v>59</v>
      </c>
      <c r="E397" s="5" t="s">
        <v>30</v>
      </c>
      <c r="F397" s="5" t="s">
        <v>31</v>
      </c>
      <c r="G397" s="5">
        <v>1</v>
      </c>
      <c r="H397" s="5">
        <v>771</v>
      </c>
      <c r="I397" s="5">
        <v>771</v>
      </c>
      <c r="J397" s="5" t="s">
        <v>16</v>
      </c>
      <c r="K397" s="5" t="s">
        <v>84</v>
      </c>
    </row>
    <row r="398" spans="1:11" x14ac:dyDescent="0.3">
      <c r="A398" s="3" t="s">
        <v>689</v>
      </c>
      <c r="B398" s="4">
        <v>45709</v>
      </c>
      <c r="C398" s="3" t="s">
        <v>118</v>
      </c>
      <c r="D398" s="3" t="s">
        <v>55</v>
      </c>
      <c r="E398" s="3" t="s">
        <v>24</v>
      </c>
      <c r="F398" s="3" t="s">
        <v>25</v>
      </c>
      <c r="G398" s="3">
        <v>10</v>
      </c>
      <c r="H398" s="3">
        <v>1319</v>
      </c>
      <c r="I398" s="3">
        <v>13190</v>
      </c>
      <c r="J398" s="3" t="s">
        <v>128</v>
      </c>
      <c r="K398" s="3" t="s">
        <v>64</v>
      </c>
    </row>
    <row r="399" spans="1:11" x14ac:dyDescent="0.3">
      <c r="A399" s="5" t="s">
        <v>690</v>
      </c>
      <c r="B399" s="6">
        <v>45952</v>
      </c>
      <c r="C399" s="5" t="s">
        <v>691</v>
      </c>
      <c r="D399" s="5" t="s">
        <v>59</v>
      </c>
      <c r="E399" s="5" t="s">
        <v>60</v>
      </c>
      <c r="F399" s="5" t="s">
        <v>25</v>
      </c>
      <c r="G399" s="5">
        <v>1</v>
      </c>
      <c r="H399" s="5">
        <v>1579</v>
      </c>
      <c r="I399" s="5">
        <v>1579</v>
      </c>
      <c r="J399" s="5" t="s">
        <v>35</v>
      </c>
      <c r="K399" s="5" t="s">
        <v>61</v>
      </c>
    </row>
    <row r="400" spans="1:11" x14ac:dyDescent="0.3">
      <c r="A400" s="3" t="s">
        <v>692</v>
      </c>
      <c r="B400" s="4">
        <v>46015</v>
      </c>
      <c r="C400" s="3" t="s">
        <v>693</v>
      </c>
      <c r="D400" s="3" t="s">
        <v>55</v>
      </c>
      <c r="E400" s="3" t="s">
        <v>108</v>
      </c>
      <c r="F400" s="3" t="s">
        <v>49</v>
      </c>
      <c r="G400" s="3">
        <v>4</v>
      </c>
      <c r="H400" s="3">
        <v>7129</v>
      </c>
      <c r="I400" s="3">
        <v>28516</v>
      </c>
      <c r="J400" s="3" t="s">
        <v>16</v>
      </c>
      <c r="K400" s="3" t="s">
        <v>36</v>
      </c>
    </row>
    <row r="401" spans="1:11" x14ac:dyDescent="0.3">
      <c r="A401" s="5" t="s">
        <v>694</v>
      </c>
      <c r="B401" s="6">
        <v>45910</v>
      </c>
      <c r="C401" s="5" t="s">
        <v>275</v>
      </c>
      <c r="D401" s="5" t="s">
        <v>13</v>
      </c>
      <c r="E401" s="5" t="s">
        <v>34</v>
      </c>
      <c r="F401" s="5" t="s">
        <v>31</v>
      </c>
      <c r="G401" s="5">
        <v>10</v>
      </c>
      <c r="H401" s="5">
        <v>3249</v>
      </c>
      <c r="I401" s="5">
        <v>32490</v>
      </c>
      <c r="J401" s="5" t="s">
        <v>128</v>
      </c>
      <c r="K401" s="5" t="s">
        <v>56</v>
      </c>
    </row>
    <row r="402" spans="1:11" x14ac:dyDescent="0.3">
      <c r="A402" s="3" t="s">
        <v>695</v>
      </c>
      <c r="B402" s="4">
        <v>45927</v>
      </c>
      <c r="C402" s="3" t="s">
        <v>696</v>
      </c>
      <c r="D402" s="3" t="s">
        <v>59</v>
      </c>
      <c r="E402" s="3" t="s">
        <v>20</v>
      </c>
      <c r="F402" s="3" t="s">
        <v>15</v>
      </c>
      <c r="G402" s="3">
        <v>1</v>
      </c>
      <c r="H402" s="3">
        <v>52058</v>
      </c>
      <c r="I402" s="3">
        <v>52058</v>
      </c>
      <c r="J402" s="3" t="s">
        <v>16</v>
      </c>
      <c r="K402" s="3" t="s">
        <v>39</v>
      </c>
    </row>
    <row r="403" spans="1:11" x14ac:dyDescent="0.3">
      <c r="A403" s="5" t="s">
        <v>697</v>
      </c>
      <c r="B403" s="6">
        <v>45823</v>
      </c>
      <c r="C403" s="5" t="s">
        <v>107</v>
      </c>
      <c r="D403" s="5" t="s">
        <v>59</v>
      </c>
      <c r="E403" s="5" t="s">
        <v>80</v>
      </c>
      <c r="F403" s="5" t="s">
        <v>25</v>
      </c>
      <c r="G403" s="5">
        <v>3</v>
      </c>
      <c r="H403" s="5">
        <v>2420</v>
      </c>
      <c r="I403" s="5">
        <v>7260</v>
      </c>
      <c r="J403" s="5" t="s">
        <v>16</v>
      </c>
      <c r="K403" s="5" t="s">
        <v>39</v>
      </c>
    </row>
    <row r="404" spans="1:11" x14ac:dyDescent="0.3">
      <c r="A404" s="3" t="s">
        <v>698</v>
      </c>
      <c r="B404" s="4">
        <v>45849</v>
      </c>
      <c r="C404" s="3" t="s">
        <v>699</v>
      </c>
      <c r="D404" s="3" t="s">
        <v>59</v>
      </c>
      <c r="E404" s="3" t="s">
        <v>108</v>
      </c>
      <c r="F404" s="3" t="s">
        <v>49</v>
      </c>
      <c r="G404" s="3">
        <v>9</v>
      </c>
      <c r="H404" s="3">
        <v>7504</v>
      </c>
      <c r="I404" s="3">
        <v>67536</v>
      </c>
      <c r="J404" s="3" t="s">
        <v>128</v>
      </c>
      <c r="K404" s="3" t="s">
        <v>99</v>
      </c>
    </row>
    <row r="405" spans="1:11" x14ac:dyDescent="0.3">
      <c r="A405" s="5" t="s">
        <v>700</v>
      </c>
      <c r="B405" s="6">
        <v>45881</v>
      </c>
      <c r="C405" s="5" t="s">
        <v>701</v>
      </c>
      <c r="D405" s="5" t="s">
        <v>13</v>
      </c>
      <c r="E405" s="5" t="s">
        <v>45</v>
      </c>
      <c r="F405" s="5" t="s">
        <v>31</v>
      </c>
      <c r="G405" s="5">
        <v>6</v>
      </c>
      <c r="H405" s="5">
        <v>1669</v>
      </c>
      <c r="I405" s="5">
        <v>10014</v>
      </c>
      <c r="J405" s="5" t="s">
        <v>16</v>
      </c>
      <c r="K405" s="5" t="s">
        <v>95</v>
      </c>
    </row>
    <row r="406" spans="1:11" x14ac:dyDescent="0.3">
      <c r="A406" s="3" t="s">
        <v>702</v>
      </c>
      <c r="B406" s="4">
        <v>45840</v>
      </c>
      <c r="C406" s="3" t="s">
        <v>703</v>
      </c>
      <c r="D406" s="3" t="s">
        <v>13</v>
      </c>
      <c r="E406" s="3" t="s">
        <v>48</v>
      </c>
      <c r="F406" s="3" t="s">
        <v>49</v>
      </c>
      <c r="G406" s="3">
        <v>9</v>
      </c>
      <c r="H406" s="3">
        <v>9348</v>
      </c>
      <c r="I406" s="3">
        <v>84132</v>
      </c>
      <c r="J406" s="3" t="s">
        <v>128</v>
      </c>
      <c r="K406" s="3" t="s">
        <v>64</v>
      </c>
    </row>
    <row r="407" spans="1:11" x14ac:dyDescent="0.3">
      <c r="A407" s="5" t="s">
        <v>704</v>
      </c>
      <c r="B407" s="6">
        <v>45748</v>
      </c>
      <c r="C407" s="5" t="s">
        <v>705</v>
      </c>
      <c r="D407" s="5" t="s">
        <v>13</v>
      </c>
      <c r="E407" s="5" t="s">
        <v>113</v>
      </c>
      <c r="F407" s="5" t="s">
        <v>49</v>
      </c>
      <c r="G407" s="5">
        <v>5</v>
      </c>
      <c r="H407" s="5">
        <v>12561</v>
      </c>
      <c r="I407" s="5">
        <v>62805</v>
      </c>
      <c r="J407" s="5" t="s">
        <v>16</v>
      </c>
      <c r="K407" s="5" t="s">
        <v>26</v>
      </c>
    </row>
    <row r="408" spans="1:11" x14ac:dyDescent="0.3">
      <c r="A408" s="3" t="s">
        <v>706</v>
      </c>
      <c r="B408" s="4">
        <v>45971</v>
      </c>
      <c r="C408" s="3" t="s">
        <v>707</v>
      </c>
      <c r="D408" s="3" t="s">
        <v>55</v>
      </c>
      <c r="E408" s="3" t="s">
        <v>67</v>
      </c>
      <c r="F408" s="3" t="s">
        <v>68</v>
      </c>
      <c r="G408" s="3">
        <v>1</v>
      </c>
      <c r="H408" s="3">
        <v>468</v>
      </c>
      <c r="I408" s="3">
        <v>468</v>
      </c>
      <c r="J408" s="3" t="s">
        <v>16</v>
      </c>
      <c r="K408" s="3" t="s">
        <v>64</v>
      </c>
    </row>
    <row r="409" spans="1:11" x14ac:dyDescent="0.3">
      <c r="A409" s="5" t="s">
        <v>708</v>
      </c>
      <c r="B409" s="6">
        <v>45821</v>
      </c>
      <c r="C409" s="5" t="s">
        <v>709</v>
      </c>
      <c r="D409" s="5" t="s">
        <v>13</v>
      </c>
      <c r="E409" s="5" t="s">
        <v>73</v>
      </c>
      <c r="F409" s="5" t="s">
        <v>68</v>
      </c>
      <c r="G409" s="5">
        <v>6</v>
      </c>
      <c r="H409" s="5">
        <v>1258</v>
      </c>
      <c r="I409" s="5">
        <v>7548</v>
      </c>
      <c r="J409" s="5" t="s">
        <v>16</v>
      </c>
      <c r="K409" s="5" t="s">
        <v>64</v>
      </c>
    </row>
    <row r="410" spans="1:11" x14ac:dyDescent="0.3">
      <c r="A410" s="3" t="s">
        <v>710</v>
      </c>
      <c r="B410" s="4">
        <v>46012</v>
      </c>
      <c r="C410" s="3" t="s">
        <v>546</v>
      </c>
      <c r="D410" s="3" t="s">
        <v>55</v>
      </c>
      <c r="E410" s="3" t="s">
        <v>14</v>
      </c>
      <c r="F410" s="3" t="s">
        <v>15</v>
      </c>
      <c r="G410" s="3">
        <v>8</v>
      </c>
      <c r="H410" s="3">
        <v>2706</v>
      </c>
      <c r="I410" s="3">
        <v>21648</v>
      </c>
      <c r="J410" s="3" t="s">
        <v>16</v>
      </c>
      <c r="K410" s="3" t="s">
        <v>61</v>
      </c>
    </row>
    <row r="411" spans="1:11" x14ac:dyDescent="0.3">
      <c r="A411" s="5" t="s">
        <v>711</v>
      </c>
      <c r="B411" s="6">
        <v>45743</v>
      </c>
      <c r="C411" s="5" t="s">
        <v>473</v>
      </c>
      <c r="D411" s="5" t="s">
        <v>59</v>
      </c>
      <c r="E411" s="5" t="s">
        <v>20</v>
      </c>
      <c r="F411" s="5" t="s">
        <v>15</v>
      </c>
      <c r="G411" s="5">
        <v>1</v>
      </c>
      <c r="H411" s="5">
        <v>53745</v>
      </c>
      <c r="I411" s="5">
        <v>53745</v>
      </c>
      <c r="J411" s="5" t="s">
        <v>16</v>
      </c>
      <c r="K411" s="5" t="s">
        <v>95</v>
      </c>
    </row>
    <row r="412" spans="1:11" x14ac:dyDescent="0.3">
      <c r="A412" s="3" t="s">
        <v>712</v>
      </c>
      <c r="B412" s="4">
        <v>45953</v>
      </c>
      <c r="C412" s="3" t="s">
        <v>208</v>
      </c>
      <c r="D412" s="3" t="s">
        <v>55</v>
      </c>
      <c r="E412" s="3" t="s">
        <v>34</v>
      </c>
      <c r="F412" s="3" t="s">
        <v>31</v>
      </c>
      <c r="G412" s="3">
        <v>7</v>
      </c>
      <c r="H412" s="3">
        <v>3220</v>
      </c>
      <c r="I412" s="3">
        <v>22540</v>
      </c>
      <c r="J412" s="3" t="s">
        <v>16</v>
      </c>
      <c r="K412" s="3" t="s">
        <v>84</v>
      </c>
    </row>
    <row r="413" spans="1:11" x14ac:dyDescent="0.3">
      <c r="A413" s="5" t="s">
        <v>713</v>
      </c>
      <c r="B413" s="6">
        <v>45668</v>
      </c>
      <c r="C413" s="5" t="s">
        <v>539</v>
      </c>
      <c r="D413" s="5" t="s">
        <v>13</v>
      </c>
      <c r="E413" s="5" t="s">
        <v>113</v>
      </c>
      <c r="F413" s="5" t="s">
        <v>49</v>
      </c>
      <c r="G413" s="5">
        <v>2</v>
      </c>
      <c r="H413" s="5">
        <v>12718</v>
      </c>
      <c r="I413" s="5">
        <v>25436</v>
      </c>
      <c r="J413" s="5" t="s">
        <v>16</v>
      </c>
      <c r="K413" s="5" t="s">
        <v>56</v>
      </c>
    </row>
    <row r="414" spans="1:11" x14ac:dyDescent="0.3">
      <c r="A414" s="3" t="s">
        <v>714</v>
      </c>
      <c r="B414" s="4">
        <v>45696</v>
      </c>
      <c r="C414" s="3" t="s">
        <v>625</v>
      </c>
      <c r="D414" s="3" t="s">
        <v>55</v>
      </c>
      <c r="E414" s="3" t="s">
        <v>14</v>
      </c>
      <c r="F414" s="3" t="s">
        <v>15</v>
      </c>
      <c r="G414" s="3">
        <v>3</v>
      </c>
      <c r="H414" s="3">
        <v>3232</v>
      </c>
      <c r="I414" s="3">
        <v>9696</v>
      </c>
      <c r="J414" s="3" t="s">
        <v>16</v>
      </c>
      <c r="K414" s="3" t="s">
        <v>36</v>
      </c>
    </row>
    <row r="415" spans="1:11" x14ac:dyDescent="0.3">
      <c r="A415" s="5" t="s">
        <v>715</v>
      </c>
      <c r="B415" s="6">
        <v>45878</v>
      </c>
      <c r="C415" s="5" t="s">
        <v>716</v>
      </c>
      <c r="D415" s="5" t="s">
        <v>55</v>
      </c>
      <c r="E415" s="5" t="s">
        <v>34</v>
      </c>
      <c r="F415" s="5" t="s">
        <v>31</v>
      </c>
      <c r="G415" s="5">
        <v>10</v>
      </c>
      <c r="H415" s="5">
        <v>3775</v>
      </c>
      <c r="I415" s="5">
        <v>37750</v>
      </c>
      <c r="J415" s="5" t="s">
        <v>16</v>
      </c>
      <c r="K415" s="5" t="s">
        <v>81</v>
      </c>
    </row>
    <row r="416" spans="1:11" x14ac:dyDescent="0.3">
      <c r="A416" s="3" t="s">
        <v>717</v>
      </c>
      <c r="B416" s="4">
        <v>45755</v>
      </c>
      <c r="C416" s="3" t="s">
        <v>271</v>
      </c>
      <c r="D416" s="3" t="s">
        <v>13</v>
      </c>
      <c r="E416" s="3" t="s">
        <v>73</v>
      </c>
      <c r="F416" s="3" t="s">
        <v>68</v>
      </c>
      <c r="G416" s="3">
        <v>1</v>
      </c>
      <c r="H416" s="3">
        <v>1104</v>
      </c>
      <c r="I416" s="3">
        <v>1104</v>
      </c>
      <c r="J416" s="3" t="s">
        <v>16</v>
      </c>
      <c r="K416" s="3" t="s">
        <v>26</v>
      </c>
    </row>
    <row r="417" spans="1:11" x14ac:dyDescent="0.3">
      <c r="A417" s="5" t="s">
        <v>718</v>
      </c>
      <c r="B417" s="6">
        <v>45859</v>
      </c>
      <c r="C417" s="5" t="s">
        <v>719</v>
      </c>
      <c r="D417" s="5" t="s">
        <v>13</v>
      </c>
      <c r="E417" s="5" t="s">
        <v>24</v>
      </c>
      <c r="F417" s="5" t="s">
        <v>25</v>
      </c>
      <c r="G417" s="5">
        <v>5</v>
      </c>
      <c r="H417" s="5">
        <v>1151</v>
      </c>
      <c r="I417" s="5">
        <v>5755</v>
      </c>
      <c r="J417" s="5" t="s">
        <v>16</v>
      </c>
      <c r="K417" s="5" t="s">
        <v>92</v>
      </c>
    </row>
    <row r="418" spans="1:11" x14ac:dyDescent="0.3">
      <c r="A418" s="3" t="s">
        <v>720</v>
      </c>
      <c r="B418" s="4">
        <v>45996</v>
      </c>
      <c r="C418" s="3" t="s">
        <v>239</v>
      </c>
      <c r="D418" s="3" t="s">
        <v>55</v>
      </c>
      <c r="E418" s="3" t="s">
        <v>108</v>
      </c>
      <c r="F418" s="3" t="s">
        <v>49</v>
      </c>
      <c r="G418" s="3">
        <v>6</v>
      </c>
      <c r="H418" s="3">
        <v>6305</v>
      </c>
      <c r="I418" s="3">
        <v>37830</v>
      </c>
      <c r="J418" s="3" t="s">
        <v>16</v>
      </c>
      <c r="K418" s="3" t="s">
        <v>89</v>
      </c>
    </row>
    <row r="419" spans="1:11" x14ac:dyDescent="0.3">
      <c r="A419" s="5" t="s">
        <v>721</v>
      </c>
      <c r="B419" s="6">
        <v>45699</v>
      </c>
      <c r="C419" s="5" t="s">
        <v>332</v>
      </c>
      <c r="D419" s="5" t="s">
        <v>29</v>
      </c>
      <c r="E419" s="5" t="s">
        <v>20</v>
      </c>
      <c r="F419" s="5" t="s">
        <v>15</v>
      </c>
      <c r="G419" s="5">
        <v>4</v>
      </c>
      <c r="H419" s="5">
        <v>51379</v>
      </c>
      <c r="I419" s="5">
        <v>205516</v>
      </c>
      <c r="J419" s="5" t="s">
        <v>16</v>
      </c>
      <c r="K419" s="5" t="s">
        <v>42</v>
      </c>
    </row>
    <row r="420" spans="1:11" x14ac:dyDescent="0.3">
      <c r="A420" s="3" t="s">
        <v>722</v>
      </c>
      <c r="B420" s="4">
        <v>45986</v>
      </c>
      <c r="C420" s="3" t="s">
        <v>266</v>
      </c>
      <c r="D420" s="3" t="s">
        <v>59</v>
      </c>
      <c r="E420" s="3" t="s">
        <v>98</v>
      </c>
      <c r="F420" s="3" t="s">
        <v>68</v>
      </c>
      <c r="G420" s="3">
        <v>8</v>
      </c>
      <c r="H420" s="3">
        <v>1942</v>
      </c>
      <c r="I420" s="3">
        <v>15536</v>
      </c>
      <c r="J420" s="3" t="s">
        <v>16</v>
      </c>
      <c r="K420" s="3" t="s">
        <v>99</v>
      </c>
    </row>
    <row r="421" spans="1:11" x14ac:dyDescent="0.3">
      <c r="A421" s="5" t="s">
        <v>723</v>
      </c>
      <c r="B421" s="6">
        <v>45896</v>
      </c>
      <c r="C421" s="5" t="s">
        <v>615</v>
      </c>
      <c r="D421" s="5" t="s">
        <v>59</v>
      </c>
      <c r="E421" s="5" t="s">
        <v>98</v>
      </c>
      <c r="F421" s="5" t="s">
        <v>68</v>
      </c>
      <c r="G421" s="5">
        <v>3</v>
      </c>
      <c r="H421" s="5">
        <v>1780</v>
      </c>
      <c r="I421" s="5">
        <v>5340</v>
      </c>
      <c r="J421" s="5" t="s">
        <v>16</v>
      </c>
      <c r="K421" s="5" t="s">
        <v>21</v>
      </c>
    </row>
    <row r="422" spans="1:11" x14ac:dyDescent="0.3">
      <c r="A422" s="3" t="s">
        <v>724</v>
      </c>
      <c r="B422" s="4">
        <v>45701</v>
      </c>
      <c r="C422" s="3" t="s">
        <v>143</v>
      </c>
      <c r="D422" s="3" t="s">
        <v>55</v>
      </c>
      <c r="E422" s="3" t="s">
        <v>80</v>
      </c>
      <c r="F422" s="3" t="s">
        <v>25</v>
      </c>
      <c r="G422" s="3">
        <v>3</v>
      </c>
      <c r="H422" s="3">
        <v>2626</v>
      </c>
      <c r="I422" s="3">
        <v>7878</v>
      </c>
      <c r="J422" s="3" t="s">
        <v>16</v>
      </c>
      <c r="K422" s="3" t="s">
        <v>61</v>
      </c>
    </row>
    <row r="423" spans="1:11" x14ac:dyDescent="0.3">
      <c r="A423" s="5" t="s">
        <v>725</v>
      </c>
      <c r="B423" s="6">
        <v>45925</v>
      </c>
      <c r="C423" s="5" t="s">
        <v>185</v>
      </c>
      <c r="D423" s="5" t="s">
        <v>55</v>
      </c>
      <c r="E423" s="5" t="s">
        <v>67</v>
      </c>
      <c r="F423" s="5" t="s">
        <v>68</v>
      </c>
      <c r="G423" s="5">
        <v>4</v>
      </c>
      <c r="H423" s="5">
        <v>505</v>
      </c>
      <c r="I423" s="5">
        <v>2020</v>
      </c>
      <c r="J423" s="5" t="s">
        <v>16</v>
      </c>
      <c r="K423" s="5" t="s">
        <v>92</v>
      </c>
    </row>
    <row r="424" spans="1:11" x14ac:dyDescent="0.3">
      <c r="A424" s="3" t="s">
        <v>726</v>
      </c>
      <c r="B424" s="4">
        <v>45675</v>
      </c>
      <c r="C424" s="3" t="s">
        <v>436</v>
      </c>
      <c r="D424" s="3" t="s">
        <v>13</v>
      </c>
      <c r="E424" s="3" t="s">
        <v>67</v>
      </c>
      <c r="F424" s="3" t="s">
        <v>68</v>
      </c>
      <c r="G424" s="3">
        <v>4</v>
      </c>
      <c r="H424" s="3">
        <v>497</v>
      </c>
      <c r="I424" s="3">
        <v>1988</v>
      </c>
      <c r="J424" s="3" t="s">
        <v>16</v>
      </c>
      <c r="K424" s="3" t="s">
        <v>89</v>
      </c>
    </row>
    <row r="425" spans="1:11" x14ac:dyDescent="0.3">
      <c r="A425" s="5" t="s">
        <v>727</v>
      </c>
      <c r="B425" s="6">
        <v>45887</v>
      </c>
      <c r="C425" s="5" t="s">
        <v>728</v>
      </c>
      <c r="D425" s="5" t="s">
        <v>55</v>
      </c>
      <c r="E425" s="5" t="s">
        <v>60</v>
      </c>
      <c r="F425" s="5" t="s">
        <v>25</v>
      </c>
      <c r="G425" s="5">
        <v>10</v>
      </c>
      <c r="H425" s="5">
        <v>1394</v>
      </c>
      <c r="I425" s="5">
        <v>13940</v>
      </c>
      <c r="J425" s="5" t="s">
        <v>35</v>
      </c>
      <c r="K425" s="5" t="s">
        <v>81</v>
      </c>
    </row>
    <row r="426" spans="1:11" x14ac:dyDescent="0.3">
      <c r="A426" s="3" t="s">
        <v>729</v>
      </c>
      <c r="B426" s="4">
        <v>45880</v>
      </c>
      <c r="C426" s="3" t="s">
        <v>730</v>
      </c>
      <c r="D426" s="3" t="s">
        <v>55</v>
      </c>
      <c r="E426" s="3" t="s">
        <v>108</v>
      </c>
      <c r="F426" s="3" t="s">
        <v>49</v>
      </c>
      <c r="G426" s="3">
        <v>1</v>
      </c>
      <c r="H426" s="3">
        <v>6892</v>
      </c>
      <c r="I426" s="3">
        <v>6892</v>
      </c>
      <c r="J426" s="3" t="s">
        <v>128</v>
      </c>
      <c r="K426" s="3" t="s">
        <v>42</v>
      </c>
    </row>
    <row r="427" spans="1:11" x14ac:dyDescent="0.3">
      <c r="A427" s="5" t="s">
        <v>731</v>
      </c>
      <c r="B427" s="6">
        <v>45692</v>
      </c>
      <c r="C427" s="5" t="s">
        <v>732</v>
      </c>
      <c r="D427" s="5" t="s">
        <v>13</v>
      </c>
      <c r="E427" s="5" t="s">
        <v>24</v>
      </c>
      <c r="F427" s="5" t="s">
        <v>25</v>
      </c>
      <c r="G427" s="5">
        <v>6</v>
      </c>
      <c r="H427" s="5">
        <v>1298</v>
      </c>
      <c r="I427" s="5">
        <v>7788</v>
      </c>
      <c r="J427" s="5" t="s">
        <v>128</v>
      </c>
      <c r="K427" s="5" t="s">
        <v>99</v>
      </c>
    </row>
    <row r="428" spans="1:11" x14ac:dyDescent="0.3">
      <c r="A428" s="3" t="s">
        <v>733</v>
      </c>
      <c r="B428" s="4">
        <v>45664</v>
      </c>
      <c r="C428" s="3" t="s">
        <v>156</v>
      </c>
      <c r="D428" s="3" t="s">
        <v>13</v>
      </c>
      <c r="E428" s="3" t="s">
        <v>24</v>
      </c>
      <c r="F428" s="3" t="s">
        <v>25</v>
      </c>
      <c r="G428" s="3">
        <v>5</v>
      </c>
      <c r="H428" s="3">
        <v>1204</v>
      </c>
      <c r="I428" s="3">
        <v>6020</v>
      </c>
      <c r="J428" s="3" t="s">
        <v>128</v>
      </c>
      <c r="K428" s="3" t="s">
        <v>89</v>
      </c>
    </row>
    <row r="429" spans="1:11" x14ac:dyDescent="0.3">
      <c r="A429" s="5" t="s">
        <v>734</v>
      </c>
      <c r="B429" s="6">
        <v>45956</v>
      </c>
      <c r="C429" s="5" t="s">
        <v>637</v>
      </c>
      <c r="D429" s="5" t="s">
        <v>29</v>
      </c>
      <c r="E429" s="5" t="s">
        <v>73</v>
      </c>
      <c r="F429" s="5" t="s">
        <v>68</v>
      </c>
      <c r="G429" s="5">
        <v>7</v>
      </c>
      <c r="H429" s="5">
        <v>1115</v>
      </c>
      <c r="I429" s="5">
        <v>7805</v>
      </c>
      <c r="J429" s="5" t="s">
        <v>16</v>
      </c>
      <c r="K429" s="5" t="s">
        <v>36</v>
      </c>
    </row>
    <row r="430" spans="1:11" x14ac:dyDescent="0.3">
      <c r="A430" s="3" t="s">
        <v>735</v>
      </c>
      <c r="B430" s="4">
        <v>45793</v>
      </c>
      <c r="C430" s="3" t="s">
        <v>632</v>
      </c>
      <c r="D430" s="3" t="s">
        <v>59</v>
      </c>
      <c r="E430" s="3" t="s">
        <v>14</v>
      </c>
      <c r="F430" s="3" t="s">
        <v>15</v>
      </c>
      <c r="G430" s="3">
        <v>9</v>
      </c>
      <c r="H430" s="3">
        <v>3228</v>
      </c>
      <c r="I430" s="3">
        <v>29052</v>
      </c>
      <c r="J430" s="3" t="s">
        <v>16</v>
      </c>
      <c r="K430" s="3" t="s">
        <v>64</v>
      </c>
    </row>
    <row r="431" spans="1:11" x14ac:dyDescent="0.3">
      <c r="A431" s="5" t="s">
        <v>736</v>
      </c>
      <c r="B431" s="6">
        <v>45974</v>
      </c>
      <c r="C431" s="5" t="s">
        <v>737</v>
      </c>
      <c r="D431" s="5" t="s">
        <v>29</v>
      </c>
      <c r="E431" s="5" t="s">
        <v>24</v>
      </c>
      <c r="F431" s="5" t="s">
        <v>25</v>
      </c>
      <c r="G431" s="5">
        <v>1</v>
      </c>
      <c r="H431" s="5">
        <v>1121</v>
      </c>
      <c r="I431" s="5">
        <v>1121</v>
      </c>
      <c r="J431" s="5" t="s">
        <v>16</v>
      </c>
      <c r="K431" s="5" t="s">
        <v>64</v>
      </c>
    </row>
    <row r="432" spans="1:11" x14ac:dyDescent="0.3">
      <c r="A432" s="3" t="s">
        <v>738</v>
      </c>
      <c r="B432" s="4">
        <v>45901</v>
      </c>
      <c r="C432" s="3" t="s">
        <v>575</v>
      </c>
      <c r="D432" s="3" t="s">
        <v>13</v>
      </c>
      <c r="E432" s="3" t="s">
        <v>116</v>
      </c>
      <c r="F432" s="3" t="s">
        <v>15</v>
      </c>
      <c r="G432" s="3">
        <v>6</v>
      </c>
      <c r="H432" s="3">
        <v>8304</v>
      </c>
      <c r="I432" s="3">
        <v>49824</v>
      </c>
      <c r="J432" s="3" t="s">
        <v>16</v>
      </c>
      <c r="K432" s="3" t="s">
        <v>36</v>
      </c>
    </row>
    <row r="433" spans="1:11" x14ac:dyDescent="0.3">
      <c r="A433" s="5" t="s">
        <v>739</v>
      </c>
      <c r="B433" s="6">
        <v>46014</v>
      </c>
      <c r="C433" s="5" t="s">
        <v>277</v>
      </c>
      <c r="D433" s="5" t="s">
        <v>29</v>
      </c>
      <c r="E433" s="5" t="s">
        <v>45</v>
      </c>
      <c r="F433" s="5" t="s">
        <v>31</v>
      </c>
      <c r="G433" s="5">
        <v>5</v>
      </c>
      <c r="H433" s="5">
        <v>1720</v>
      </c>
      <c r="I433" s="5">
        <v>8600</v>
      </c>
      <c r="J433" s="5" t="s">
        <v>16</v>
      </c>
      <c r="K433" s="5" t="s">
        <v>42</v>
      </c>
    </row>
    <row r="434" spans="1:11" x14ac:dyDescent="0.3">
      <c r="A434" s="3" t="s">
        <v>740</v>
      </c>
      <c r="B434" s="4">
        <v>45871</v>
      </c>
      <c r="C434" s="3" t="s">
        <v>536</v>
      </c>
      <c r="D434" s="3" t="s">
        <v>59</v>
      </c>
      <c r="E434" s="3" t="s">
        <v>34</v>
      </c>
      <c r="F434" s="3" t="s">
        <v>31</v>
      </c>
      <c r="G434" s="3">
        <v>8</v>
      </c>
      <c r="H434" s="3">
        <v>3691</v>
      </c>
      <c r="I434" s="3">
        <v>29528</v>
      </c>
      <c r="J434" s="3" t="s">
        <v>16</v>
      </c>
      <c r="K434" s="3" t="s">
        <v>64</v>
      </c>
    </row>
    <row r="435" spans="1:11" x14ac:dyDescent="0.3">
      <c r="A435" s="5" t="s">
        <v>741</v>
      </c>
      <c r="B435" s="6">
        <v>45849</v>
      </c>
      <c r="C435" s="5" t="s">
        <v>523</v>
      </c>
      <c r="D435" s="5" t="s">
        <v>59</v>
      </c>
      <c r="E435" s="5" t="s">
        <v>73</v>
      </c>
      <c r="F435" s="5" t="s">
        <v>68</v>
      </c>
      <c r="G435" s="5">
        <v>7</v>
      </c>
      <c r="H435" s="5">
        <v>1257</v>
      </c>
      <c r="I435" s="5">
        <v>8799</v>
      </c>
      <c r="J435" s="5" t="s">
        <v>16</v>
      </c>
      <c r="K435" s="5" t="s">
        <v>92</v>
      </c>
    </row>
    <row r="436" spans="1:11" x14ac:dyDescent="0.3">
      <c r="A436" s="3" t="s">
        <v>742</v>
      </c>
      <c r="B436" s="4">
        <v>45926</v>
      </c>
      <c r="C436" s="3" t="s">
        <v>160</v>
      </c>
      <c r="D436" s="3" t="s">
        <v>55</v>
      </c>
      <c r="E436" s="3" t="s">
        <v>14</v>
      </c>
      <c r="F436" s="3" t="s">
        <v>15</v>
      </c>
      <c r="G436" s="3">
        <v>9</v>
      </c>
      <c r="H436" s="3">
        <v>2942</v>
      </c>
      <c r="I436" s="3">
        <v>26478</v>
      </c>
      <c r="J436" s="3" t="s">
        <v>16</v>
      </c>
      <c r="K436" s="3" t="s">
        <v>39</v>
      </c>
    </row>
    <row r="437" spans="1:11" x14ac:dyDescent="0.3">
      <c r="A437" s="5" t="s">
        <v>743</v>
      </c>
      <c r="B437" s="6">
        <v>45842</v>
      </c>
      <c r="C437" s="5" t="s">
        <v>744</v>
      </c>
      <c r="D437" s="5" t="s">
        <v>59</v>
      </c>
      <c r="E437" s="5" t="s">
        <v>108</v>
      </c>
      <c r="F437" s="5" t="s">
        <v>49</v>
      </c>
      <c r="G437" s="5">
        <v>4</v>
      </c>
      <c r="H437" s="5">
        <v>6346</v>
      </c>
      <c r="I437" s="5">
        <v>25384</v>
      </c>
      <c r="J437" s="5" t="s">
        <v>16</v>
      </c>
      <c r="K437" s="5" t="s">
        <v>56</v>
      </c>
    </row>
    <row r="438" spans="1:11" x14ac:dyDescent="0.3">
      <c r="A438" s="3" t="s">
        <v>745</v>
      </c>
      <c r="B438" s="4">
        <v>45673</v>
      </c>
      <c r="C438" s="3" t="s">
        <v>746</v>
      </c>
      <c r="D438" s="3" t="s">
        <v>29</v>
      </c>
      <c r="E438" s="3" t="s">
        <v>67</v>
      </c>
      <c r="F438" s="3" t="s">
        <v>68</v>
      </c>
      <c r="G438" s="3">
        <v>7</v>
      </c>
      <c r="H438" s="3">
        <v>513</v>
      </c>
      <c r="I438" s="3">
        <v>3591</v>
      </c>
      <c r="J438" s="3" t="s">
        <v>16</v>
      </c>
      <c r="K438" s="3" t="s">
        <v>61</v>
      </c>
    </row>
    <row r="439" spans="1:11" x14ac:dyDescent="0.3">
      <c r="A439" s="5" t="s">
        <v>747</v>
      </c>
      <c r="B439" s="6">
        <v>45741</v>
      </c>
      <c r="C439" s="5" t="s">
        <v>748</v>
      </c>
      <c r="D439" s="5" t="s">
        <v>29</v>
      </c>
      <c r="E439" s="5" t="s">
        <v>73</v>
      </c>
      <c r="F439" s="5" t="s">
        <v>68</v>
      </c>
      <c r="G439" s="5">
        <v>8</v>
      </c>
      <c r="H439" s="5">
        <v>1220</v>
      </c>
      <c r="I439" s="5">
        <v>9760</v>
      </c>
      <c r="J439" s="5" t="s">
        <v>16</v>
      </c>
      <c r="K439" s="5" t="s">
        <v>26</v>
      </c>
    </row>
    <row r="440" spans="1:11" x14ac:dyDescent="0.3">
      <c r="A440" s="3" t="s">
        <v>749</v>
      </c>
      <c r="B440" s="4">
        <v>45950</v>
      </c>
      <c r="C440" s="3" t="s">
        <v>750</v>
      </c>
      <c r="D440" s="3" t="s">
        <v>55</v>
      </c>
      <c r="E440" s="3" t="s">
        <v>14</v>
      </c>
      <c r="F440" s="3" t="s">
        <v>15</v>
      </c>
      <c r="G440" s="3">
        <v>1</v>
      </c>
      <c r="H440" s="3">
        <v>2931</v>
      </c>
      <c r="I440" s="3">
        <v>2931</v>
      </c>
      <c r="J440" s="3" t="s">
        <v>16</v>
      </c>
      <c r="K440" s="3" t="s">
        <v>42</v>
      </c>
    </row>
    <row r="441" spans="1:11" x14ac:dyDescent="0.3">
      <c r="A441" s="5" t="s">
        <v>751</v>
      </c>
      <c r="B441" s="6">
        <v>45668</v>
      </c>
      <c r="C441" s="5" t="s">
        <v>281</v>
      </c>
      <c r="D441" s="5" t="s">
        <v>59</v>
      </c>
      <c r="E441" s="5" t="s">
        <v>48</v>
      </c>
      <c r="F441" s="5" t="s">
        <v>49</v>
      </c>
      <c r="G441" s="5">
        <v>4</v>
      </c>
      <c r="H441" s="5">
        <v>8584</v>
      </c>
      <c r="I441" s="5">
        <v>34336</v>
      </c>
      <c r="J441" s="5" t="s">
        <v>16</v>
      </c>
      <c r="K441" s="5" t="s">
        <v>39</v>
      </c>
    </row>
    <row r="442" spans="1:11" x14ac:dyDescent="0.3">
      <c r="A442" s="3" t="s">
        <v>752</v>
      </c>
      <c r="B442" s="4">
        <v>45787</v>
      </c>
      <c r="C442" s="3" t="s">
        <v>737</v>
      </c>
      <c r="D442" s="3" t="s">
        <v>29</v>
      </c>
      <c r="E442" s="3" t="s">
        <v>48</v>
      </c>
      <c r="F442" s="3" t="s">
        <v>49</v>
      </c>
      <c r="G442" s="3">
        <v>3</v>
      </c>
      <c r="H442" s="3">
        <v>9182</v>
      </c>
      <c r="I442" s="3">
        <v>27546</v>
      </c>
      <c r="J442" s="3" t="s">
        <v>16</v>
      </c>
      <c r="K442" s="3" t="s">
        <v>84</v>
      </c>
    </row>
    <row r="443" spans="1:11" x14ac:dyDescent="0.3">
      <c r="A443" s="5" t="s">
        <v>753</v>
      </c>
      <c r="B443" s="6">
        <v>45769</v>
      </c>
      <c r="C443" s="5" t="s">
        <v>434</v>
      </c>
      <c r="D443" s="5" t="s">
        <v>55</v>
      </c>
      <c r="E443" s="5" t="s">
        <v>45</v>
      </c>
      <c r="F443" s="5" t="s">
        <v>31</v>
      </c>
      <c r="G443" s="5">
        <v>7</v>
      </c>
      <c r="H443" s="5">
        <v>1926</v>
      </c>
      <c r="I443" s="5">
        <v>13482</v>
      </c>
      <c r="J443" s="5" t="s">
        <v>16</v>
      </c>
      <c r="K443" s="5" t="s">
        <v>56</v>
      </c>
    </row>
    <row r="444" spans="1:11" x14ac:dyDescent="0.3">
      <c r="A444" s="3" t="s">
        <v>754</v>
      </c>
      <c r="B444" s="4">
        <v>45997</v>
      </c>
      <c r="C444" s="3" t="s">
        <v>405</v>
      </c>
      <c r="D444" s="3" t="s">
        <v>13</v>
      </c>
      <c r="E444" s="3" t="s">
        <v>24</v>
      </c>
      <c r="F444" s="3" t="s">
        <v>25</v>
      </c>
      <c r="G444" s="3">
        <v>10</v>
      </c>
      <c r="H444" s="3">
        <v>1104</v>
      </c>
      <c r="I444" s="3">
        <v>11040</v>
      </c>
      <c r="J444" s="3" t="s">
        <v>16</v>
      </c>
      <c r="K444" s="3" t="s">
        <v>92</v>
      </c>
    </row>
    <row r="445" spans="1:11" x14ac:dyDescent="0.3">
      <c r="A445" s="5" t="s">
        <v>755</v>
      </c>
      <c r="B445" s="6">
        <v>45830</v>
      </c>
      <c r="C445" s="5" t="s">
        <v>263</v>
      </c>
      <c r="D445" s="5" t="s">
        <v>13</v>
      </c>
      <c r="E445" s="5" t="s">
        <v>24</v>
      </c>
      <c r="F445" s="5" t="s">
        <v>25</v>
      </c>
      <c r="G445" s="5">
        <v>5</v>
      </c>
      <c r="H445" s="5">
        <v>1244</v>
      </c>
      <c r="I445" s="5">
        <v>6220</v>
      </c>
      <c r="J445" s="5" t="s">
        <v>16</v>
      </c>
      <c r="K445" s="5" t="s">
        <v>64</v>
      </c>
    </row>
    <row r="446" spans="1:11" x14ac:dyDescent="0.3">
      <c r="A446" s="3" t="s">
        <v>756</v>
      </c>
      <c r="B446" s="4">
        <v>45781</v>
      </c>
      <c r="C446" s="3" t="s">
        <v>510</v>
      </c>
      <c r="D446" s="3" t="s">
        <v>59</v>
      </c>
      <c r="E446" s="3" t="s">
        <v>45</v>
      </c>
      <c r="F446" s="3" t="s">
        <v>31</v>
      </c>
      <c r="G446" s="3">
        <v>5</v>
      </c>
      <c r="H446" s="3">
        <v>1687</v>
      </c>
      <c r="I446" s="3">
        <v>8435</v>
      </c>
      <c r="J446" s="3" t="s">
        <v>16</v>
      </c>
      <c r="K446" s="3" t="s">
        <v>84</v>
      </c>
    </row>
    <row r="447" spans="1:11" x14ac:dyDescent="0.3">
      <c r="A447" s="5" t="s">
        <v>757</v>
      </c>
      <c r="B447" s="6">
        <v>45993</v>
      </c>
      <c r="C447" s="5" t="s">
        <v>283</v>
      </c>
      <c r="D447" s="5" t="s">
        <v>55</v>
      </c>
      <c r="E447" s="5" t="s">
        <v>24</v>
      </c>
      <c r="F447" s="5" t="s">
        <v>25</v>
      </c>
      <c r="G447" s="5">
        <v>6</v>
      </c>
      <c r="H447" s="5">
        <v>1243</v>
      </c>
      <c r="I447" s="5">
        <v>7458</v>
      </c>
      <c r="J447" s="5" t="s">
        <v>16</v>
      </c>
      <c r="K447" s="5" t="s">
        <v>56</v>
      </c>
    </row>
    <row r="448" spans="1:11" x14ac:dyDescent="0.3">
      <c r="A448" s="3" t="s">
        <v>758</v>
      </c>
      <c r="B448" s="4">
        <v>45950</v>
      </c>
      <c r="C448" s="3" t="s">
        <v>292</v>
      </c>
      <c r="D448" s="3" t="s">
        <v>59</v>
      </c>
      <c r="E448" s="3" t="s">
        <v>98</v>
      </c>
      <c r="F448" s="3" t="s">
        <v>68</v>
      </c>
      <c r="G448" s="3">
        <v>7</v>
      </c>
      <c r="H448" s="3">
        <v>1885</v>
      </c>
      <c r="I448" s="3">
        <v>13195</v>
      </c>
      <c r="J448" s="3" t="s">
        <v>16</v>
      </c>
      <c r="K448" s="3" t="s">
        <v>61</v>
      </c>
    </row>
    <row r="449" spans="1:11" x14ac:dyDescent="0.3">
      <c r="A449" s="5" t="s">
        <v>759</v>
      </c>
      <c r="B449" s="6">
        <v>46001</v>
      </c>
      <c r="C449" s="5" t="s">
        <v>693</v>
      </c>
      <c r="D449" s="5" t="s">
        <v>13</v>
      </c>
      <c r="E449" s="5" t="s">
        <v>48</v>
      </c>
      <c r="F449" s="5" t="s">
        <v>49</v>
      </c>
      <c r="G449" s="5">
        <v>9</v>
      </c>
      <c r="H449" s="5">
        <v>9248</v>
      </c>
      <c r="I449" s="5">
        <v>83232</v>
      </c>
      <c r="J449" s="5" t="s">
        <v>16</v>
      </c>
      <c r="K449" s="5" t="s">
        <v>92</v>
      </c>
    </row>
    <row r="450" spans="1:11" x14ac:dyDescent="0.3">
      <c r="A450" s="3" t="s">
        <v>760</v>
      </c>
      <c r="B450" s="4">
        <v>45723</v>
      </c>
      <c r="C450" s="3" t="s">
        <v>748</v>
      </c>
      <c r="D450" s="3" t="s">
        <v>59</v>
      </c>
      <c r="E450" s="3" t="s">
        <v>48</v>
      </c>
      <c r="F450" s="3" t="s">
        <v>49</v>
      </c>
      <c r="G450" s="3">
        <v>9</v>
      </c>
      <c r="H450" s="3">
        <v>8426</v>
      </c>
      <c r="I450" s="3">
        <v>75834</v>
      </c>
      <c r="J450" s="3" t="s">
        <v>16</v>
      </c>
      <c r="K450" s="3" t="s">
        <v>26</v>
      </c>
    </row>
    <row r="451" spans="1:11" x14ac:dyDescent="0.3">
      <c r="A451" s="5" t="s">
        <v>761</v>
      </c>
      <c r="B451" s="6">
        <v>45772</v>
      </c>
      <c r="C451" s="5" t="s">
        <v>469</v>
      </c>
      <c r="D451" s="5" t="s">
        <v>55</v>
      </c>
      <c r="E451" s="5" t="s">
        <v>48</v>
      </c>
      <c r="F451" s="5" t="s">
        <v>49</v>
      </c>
      <c r="G451" s="5">
        <v>6</v>
      </c>
      <c r="H451" s="5">
        <v>9277</v>
      </c>
      <c r="I451" s="5">
        <v>55662</v>
      </c>
      <c r="J451" s="5" t="s">
        <v>16</v>
      </c>
      <c r="K451" s="5" t="s">
        <v>99</v>
      </c>
    </row>
    <row r="452" spans="1:11" x14ac:dyDescent="0.3">
      <c r="A452" s="3" t="s">
        <v>762</v>
      </c>
      <c r="B452" s="4">
        <v>45718</v>
      </c>
      <c r="C452" s="3" t="s">
        <v>145</v>
      </c>
      <c r="D452" s="3" t="s">
        <v>55</v>
      </c>
      <c r="E452" s="3" t="s">
        <v>45</v>
      </c>
      <c r="F452" s="3" t="s">
        <v>31</v>
      </c>
      <c r="G452" s="3">
        <v>5</v>
      </c>
      <c r="H452" s="3">
        <v>1830</v>
      </c>
      <c r="I452" s="3">
        <v>9150</v>
      </c>
      <c r="J452" s="3" t="s">
        <v>16</v>
      </c>
      <c r="K452" s="3" t="s">
        <v>39</v>
      </c>
    </row>
    <row r="453" spans="1:11" x14ac:dyDescent="0.3">
      <c r="A453" s="5" t="s">
        <v>763</v>
      </c>
      <c r="B453" s="6">
        <v>45914</v>
      </c>
      <c r="C453" s="5" t="s">
        <v>764</v>
      </c>
      <c r="D453" s="5" t="s">
        <v>55</v>
      </c>
      <c r="E453" s="5" t="s">
        <v>60</v>
      </c>
      <c r="F453" s="5" t="s">
        <v>25</v>
      </c>
      <c r="G453" s="5">
        <v>10</v>
      </c>
      <c r="H453" s="5">
        <v>1371</v>
      </c>
      <c r="I453" s="5">
        <v>13710</v>
      </c>
      <c r="J453" s="5" t="s">
        <v>16</v>
      </c>
      <c r="K453" s="5" t="s">
        <v>42</v>
      </c>
    </row>
    <row r="454" spans="1:11" x14ac:dyDescent="0.3">
      <c r="A454" s="3" t="s">
        <v>765</v>
      </c>
      <c r="B454" s="4">
        <v>45728</v>
      </c>
      <c r="C454" s="3" t="s">
        <v>428</v>
      </c>
      <c r="D454" s="3" t="s">
        <v>13</v>
      </c>
      <c r="E454" s="3" t="s">
        <v>24</v>
      </c>
      <c r="F454" s="3" t="s">
        <v>25</v>
      </c>
      <c r="G454" s="3">
        <v>7</v>
      </c>
      <c r="H454" s="3">
        <v>1092</v>
      </c>
      <c r="I454" s="3">
        <v>7644</v>
      </c>
      <c r="J454" s="3" t="s">
        <v>35</v>
      </c>
      <c r="K454" s="3" t="s">
        <v>61</v>
      </c>
    </row>
    <row r="455" spans="1:11" x14ac:dyDescent="0.3">
      <c r="A455" s="5" t="s">
        <v>766</v>
      </c>
      <c r="B455" s="6">
        <v>45699</v>
      </c>
      <c r="C455" s="5" t="s">
        <v>767</v>
      </c>
      <c r="D455" s="5" t="s">
        <v>29</v>
      </c>
      <c r="E455" s="5" t="s">
        <v>24</v>
      </c>
      <c r="F455" s="5" t="s">
        <v>25</v>
      </c>
      <c r="G455" s="5">
        <v>3</v>
      </c>
      <c r="H455" s="5">
        <v>1155</v>
      </c>
      <c r="I455" s="5">
        <v>3465</v>
      </c>
      <c r="J455" s="5" t="s">
        <v>16</v>
      </c>
      <c r="K455" s="5" t="s">
        <v>61</v>
      </c>
    </row>
    <row r="456" spans="1:11" x14ac:dyDescent="0.3">
      <c r="A456" s="3" t="s">
        <v>768</v>
      </c>
      <c r="B456" s="4">
        <v>45744</v>
      </c>
      <c r="C456" s="3" t="s">
        <v>94</v>
      </c>
      <c r="D456" s="3" t="s">
        <v>13</v>
      </c>
      <c r="E456" s="3" t="s">
        <v>113</v>
      </c>
      <c r="F456" s="3" t="s">
        <v>49</v>
      </c>
      <c r="G456" s="3">
        <v>1</v>
      </c>
      <c r="H456" s="3">
        <v>10811</v>
      </c>
      <c r="I456" s="3">
        <v>10811</v>
      </c>
      <c r="J456" s="3" t="s">
        <v>16</v>
      </c>
      <c r="K456" s="3" t="s">
        <v>84</v>
      </c>
    </row>
    <row r="457" spans="1:11" x14ac:dyDescent="0.3">
      <c r="A457" s="5" t="s">
        <v>769</v>
      </c>
      <c r="B457" s="6">
        <v>45877</v>
      </c>
      <c r="C457" s="5" t="s">
        <v>696</v>
      </c>
      <c r="D457" s="5" t="s">
        <v>59</v>
      </c>
      <c r="E457" s="5" t="s">
        <v>52</v>
      </c>
      <c r="F457" s="5" t="s">
        <v>15</v>
      </c>
      <c r="G457" s="5">
        <v>10</v>
      </c>
      <c r="H457" s="5">
        <v>24668</v>
      </c>
      <c r="I457" s="5">
        <v>246680</v>
      </c>
      <c r="J457" s="5" t="s">
        <v>16</v>
      </c>
      <c r="K457" s="5" t="s">
        <v>99</v>
      </c>
    </row>
    <row r="458" spans="1:11" x14ac:dyDescent="0.3">
      <c r="A458" s="3" t="s">
        <v>770</v>
      </c>
      <c r="B458" s="4">
        <v>45929</v>
      </c>
      <c r="C458" s="3" t="s">
        <v>292</v>
      </c>
      <c r="D458" s="3" t="s">
        <v>59</v>
      </c>
      <c r="E458" s="3" t="s">
        <v>80</v>
      </c>
      <c r="F458" s="3" t="s">
        <v>25</v>
      </c>
      <c r="G458" s="3">
        <v>6</v>
      </c>
      <c r="H458" s="3">
        <v>2725</v>
      </c>
      <c r="I458" s="3">
        <v>16350</v>
      </c>
      <c r="J458" s="3" t="s">
        <v>16</v>
      </c>
      <c r="K458" s="3" t="s">
        <v>39</v>
      </c>
    </row>
    <row r="459" spans="1:11" x14ac:dyDescent="0.3">
      <c r="A459" s="5" t="s">
        <v>771</v>
      </c>
      <c r="B459" s="6">
        <v>45915</v>
      </c>
      <c r="C459" s="5" t="s">
        <v>222</v>
      </c>
      <c r="D459" s="5" t="s">
        <v>13</v>
      </c>
      <c r="E459" s="5" t="s">
        <v>108</v>
      </c>
      <c r="F459" s="5" t="s">
        <v>49</v>
      </c>
      <c r="G459" s="5">
        <v>6</v>
      </c>
      <c r="H459" s="5">
        <v>6736</v>
      </c>
      <c r="I459" s="5">
        <v>40416</v>
      </c>
      <c r="J459" s="5" t="s">
        <v>16</v>
      </c>
      <c r="K459" s="5" t="s">
        <v>56</v>
      </c>
    </row>
    <row r="460" spans="1:11" x14ac:dyDescent="0.3">
      <c r="A460" s="3" t="s">
        <v>772</v>
      </c>
      <c r="B460" s="4">
        <v>45926</v>
      </c>
      <c r="C460" s="3" t="s">
        <v>773</v>
      </c>
      <c r="D460" s="3" t="s">
        <v>59</v>
      </c>
      <c r="E460" s="3" t="s">
        <v>14</v>
      </c>
      <c r="F460" s="3" t="s">
        <v>15</v>
      </c>
      <c r="G460" s="3">
        <v>5</v>
      </c>
      <c r="H460" s="3">
        <v>2973</v>
      </c>
      <c r="I460" s="3">
        <v>14865</v>
      </c>
      <c r="J460" s="3" t="s">
        <v>16</v>
      </c>
      <c r="K460" s="3" t="s">
        <v>99</v>
      </c>
    </row>
    <row r="461" spans="1:11" x14ac:dyDescent="0.3">
      <c r="A461" s="5" t="s">
        <v>774</v>
      </c>
      <c r="B461" s="6">
        <v>45864</v>
      </c>
      <c r="C461" s="5" t="s">
        <v>775</v>
      </c>
      <c r="D461" s="5" t="s">
        <v>55</v>
      </c>
      <c r="E461" s="5" t="s">
        <v>113</v>
      </c>
      <c r="F461" s="5" t="s">
        <v>49</v>
      </c>
      <c r="G461" s="5">
        <v>8</v>
      </c>
      <c r="H461" s="5">
        <v>11662</v>
      </c>
      <c r="I461" s="5">
        <v>93296</v>
      </c>
      <c r="J461" s="5" t="s">
        <v>16</v>
      </c>
      <c r="K461" s="5" t="s">
        <v>21</v>
      </c>
    </row>
    <row r="462" spans="1:11" x14ac:dyDescent="0.3">
      <c r="A462" s="3" t="s">
        <v>776</v>
      </c>
      <c r="B462" s="4">
        <v>45845</v>
      </c>
      <c r="C462" s="3" t="s">
        <v>208</v>
      </c>
      <c r="D462" s="3" t="s">
        <v>59</v>
      </c>
      <c r="E462" s="3" t="s">
        <v>108</v>
      </c>
      <c r="F462" s="3" t="s">
        <v>49</v>
      </c>
      <c r="G462" s="3">
        <v>1</v>
      </c>
      <c r="H462" s="3">
        <v>7125</v>
      </c>
      <c r="I462" s="3">
        <v>7125</v>
      </c>
      <c r="J462" s="3" t="s">
        <v>16</v>
      </c>
      <c r="K462" s="3" t="s">
        <v>84</v>
      </c>
    </row>
    <row r="463" spans="1:11" x14ac:dyDescent="0.3">
      <c r="A463" s="5" t="s">
        <v>777</v>
      </c>
      <c r="B463" s="6">
        <v>45996</v>
      </c>
      <c r="C463" s="5" t="s">
        <v>778</v>
      </c>
      <c r="D463" s="5" t="s">
        <v>59</v>
      </c>
      <c r="E463" s="5" t="s">
        <v>34</v>
      </c>
      <c r="F463" s="5" t="s">
        <v>31</v>
      </c>
      <c r="G463" s="5">
        <v>10</v>
      </c>
      <c r="H463" s="5">
        <v>3184</v>
      </c>
      <c r="I463" s="5">
        <v>31840</v>
      </c>
      <c r="J463" s="5" t="s">
        <v>128</v>
      </c>
      <c r="K463" s="5" t="s">
        <v>64</v>
      </c>
    </row>
    <row r="464" spans="1:11" x14ac:dyDescent="0.3">
      <c r="A464" s="3" t="s">
        <v>779</v>
      </c>
      <c r="B464" s="4">
        <v>45787</v>
      </c>
      <c r="C464" s="3" t="s">
        <v>332</v>
      </c>
      <c r="D464" s="3" t="s">
        <v>55</v>
      </c>
      <c r="E464" s="3" t="s">
        <v>20</v>
      </c>
      <c r="F464" s="3" t="s">
        <v>15</v>
      </c>
      <c r="G464" s="3">
        <v>7</v>
      </c>
      <c r="H464" s="3">
        <v>54387</v>
      </c>
      <c r="I464" s="3">
        <v>380709</v>
      </c>
      <c r="J464" s="3" t="s">
        <v>16</v>
      </c>
      <c r="K464" s="3" t="s">
        <v>26</v>
      </c>
    </row>
    <row r="465" spans="1:11" x14ac:dyDescent="0.3">
      <c r="A465" s="5" t="s">
        <v>780</v>
      </c>
      <c r="B465" s="6">
        <v>45796</v>
      </c>
      <c r="C465" s="5" t="s">
        <v>400</v>
      </c>
      <c r="D465" s="5" t="s">
        <v>59</v>
      </c>
      <c r="E465" s="5" t="s">
        <v>14</v>
      </c>
      <c r="F465" s="5" t="s">
        <v>15</v>
      </c>
      <c r="G465" s="5">
        <v>7</v>
      </c>
      <c r="H465" s="5">
        <v>3096</v>
      </c>
      <c r="I465" s="5">
        <v>21672</v>
      </c>
      <c r="J465" s="5" t="s">
        <v>16</v>
      </c>
      <c r="K465" s="5" t="s">
        <v>89</v>
      </c>
    </row>
    <row r="466" spans="1:11" x14ac:dyDescent="0.3">
      <c r="A466" s="3" t="s">
        <v>781</v>
      </c>
      <c r="B466" s="4">
        <v>45716</v>
      </c>
      <c r="C466" s="3" t="s">
        <v>72</v>
      </c>
      <c r="D466" s="3" t="s">
        <v>13</v>
      </c>
      <c r="E466" s="3" t="s">
        <v>73</v>
      </c>
      <c r="F466" s="3" t="s">
        <v>68</v>
      </c>
      <c r="G466" s="3">
        <v>9</v>
      </c>
      <c r="H466" s="3">
        <v>1252</v>
      </c>
      <c r="I466" s="3">
        <v>11268</v>
      </c>
      <c r="J466" s="3" t="s">
        <v>16</v>
      </c>
      <c r="K466" s="3" t="s">
        <v>95</v>
      </c>
    </row>
    <row r="467" spans="1:11" x14ac:dyDescent="0.3">
      <c r="A467" s="5" t="s">
        <v>782</v>
      </c>
      <c r="B467" s="6">
        <v>45867</v>
      </c>
      <c r="C467" s="5" t="s">
        <v>158</v>
      </c>
      <c r="D467" s="5" t="s">
        <v>59</v>
      </c>
      <c r="E467" s="5" t="s">
        <v>113</v>
      </c>
      <c r="F467" s="5" t="s">
        <v>49</v>
      </c>
      <c r="G467" s="5">
        <v>9</v>
      </c>
      <c r="H467" s="5">
        <v>13135</v>
      </c>
      <c r="I467" s="5">
        <v>118215</v>
      </c>
      <c r="J467" s="5" t="s">
        <v>16</v>
      </c>
      <c r="K467" s="5" t="s">
        <v>81</v>
      </c>
    </row>
    <row r="468" spans="1:11" x14ac:dyDescent="0.3">
      <c r="A468" s="3" t="s">
        <v>783</v>
      </c>
      <c r="B468" s="4">
        <v>46001</v>
      </c>
      <c r="C468" s="3" t="s">
        <v>359</v>
      </c>
      <c r="D468" s="3" t="s">
        <v>59</v>
      </c>
      <c r="E468" s="3" t="s">
        <v>73</v>
      </c>
      <c r="F468" s="3" t="s">
        <v>68</v>
      </c>
      <c r="G468" s="3">
        <v>8</v>
      </c>
      <c r="H468" s="3">
        <v>1159</v>
      </c>
      <c r="I468" s="3">
        <v>9272</v>
      </c>
      <c r="J468" s="3" t="s">
        <v>16</v>
      </c>
      <c r="K468" s="3" t="s">
        <v>36</v>
      </c>
    </row>
    <row r="469" spans="1:11" x14ac:dyDescent="0.3">
      <c r="A469" s="5" t="s">
        <v>784</v>
      </c>
      <c r="B469" s="6">
        <v>45919</v>
      </c>
      <c r="C469" s="5" t="s">
        <v>785</v>
      </c>
      <c r="D469" s="5" t="s">
        <v>59</v>
      </c>
      <c r="E469" s="5" t="s">
        <v>60</v>
      </c>
      <c r="F469" s="5" t="s">
        <v>25</v>
      </c>
      <c r="G469" s="5">
        <v>8</v>
      </c>
      <c r="H469" s="5">
        <v>1394</v>
      </c>
      <c r="I469" s="5">
        <v>11152</v>
      </c>
      <c r="J469" s="5" t="s">
        <v>16</v>
      </c>
      <c r="K469" s="5" t="s">
        <v>26</v>
      </c>
    </row>
    <row r="470" spans="1:11" x14ac:dyDescent="0.3">
      <c r="A470" s="3" t="s">
        <v>786</v>
      </c>
      <c r="B470" s="4">
        <v>45793</v>
      </c>
      <c r="C470" s="3" t="s">
        <v>172</v>
      </c>
      <c r="D470" s="3" t="s">
        <v>13</v>
      </c>
      <c r="E470" s="3" t="s">
        <v>34</v>
      </c>
      <c r="F470" s="3" t="s">
        <v>31</v>
      </c>
      <c r="G470" s="3">
        <v>4</v>
      </c>
      <c r="H470" s="3">
        <v>3469</v>
      </c>
      <c r="I470" s="3">
        <v>13876</v>
      </c>
      <c r="J470" s="3" t="s">
        <v>128</v>
      </c>
      <c r="K470" s="3" t="s">
        <v>39</v>
      </c>
    </row>
    <row r="471" spans="1:11" x14ac:dyDescent="0.3">
      <c r="A471" s="5" t="s">
        <v>787</v>
      </c>
      <c r="B471" s="6">
        <v>45876</v>
      </c>
      <c r="C471" s="5" t="s">
        <v>253</v>
      </c>
      <c r="D471" s="5" t="s">
        <v>59</v>
      </c>
      <c r="E471" s="5" t="s">
        <v>108</v>
      </c>
      <c r="F471" s="5" t="s">
        <v>49</v>
      </c>
      <c r="G471" s="5">
        <v>5</v>
      </c>
      <c r="H471" s="5">
        <v>6804</v>
      </c>
      <c r="I471" s="5">
        <v>34020</v>
      </c>
      <c r="J471" s="5" t="s">
        <v>16</v>
      </c>
      <c r="K471" s="5" t="s">
        <v>17</v>
      </c>
    </row>
    <row r="472" spans="1:11" x14ac:dyDescent="0.3">
      <c r="A472" s="3" t="s">
        <v>788</v>
      </c>
      <c r="B472" s="4">
        <v>45841</v>
      </c>
      <c r="C472" s="3" t="s">
        <v>86</v>
      </c>
      <c r="D472" s="3" t="s">
        <v>55</v>
      </c>
      <c r="E472" s="3" t="s">
        <v>20</v>
      </c>
      <c r="F472" s="3" t="s">
        <v>15</v>
      </c>
      <c r="G472" s="3">
        <v>3</v>
      </c>
      <c r="H472" s="3">
        <v>56796</v>
      </c>
      <c r="I472" s="3">
        <v>170388</v>
      </c>
      <c r="J472" s="3" t="s">
        <v>16</v>
      </c>
      <c r="K472" s="3" t="s">
        <v>89</v>
      </c>
    </row>
    <row r="473" spans="1:11" x14ac:dyDescent="0.3">
      <c r="A473" s="5" t="s">
        <v>789</v>
      </c>
      <c r="B473" s="6">
        <v>45891</v>
      </c>
      <c r="C473" s="5" t="s">
        <v>346</v>
      </c>
      <c r="D473" s="5" t="s">
        <v>59</v>
      </c>
      <c r="E473" s="5" t="s">
        <v>14</v>
      </c>
      <c r="F473" s="5" t="s">
        <v>15</v>
      </c>
      <c r="G473" s="5">
        <v>6</v>
      </c>
      <c r="H473" s="5">
        <v>2809</v>
      </c>
      <c r="I473" s="5">
        <v>16854</v>
      </c>
      <c r="J473" s="5" t="s">
        <v>16</v>
      </c>
      <c r="K473" s="5" t="s">
        <v>42</v>
      </c>
    </row>
    <row r="474" spans="1:11" x14ac:dyDescent="0.3">
      <c r="A474" s="3" t="s">
        <v>790</v>
      </c>
      <c r="B474" s="4">
        <v>45688</v>
      </c>
      <c r="C474" s="3" t="s">
        <v>23</v>
      </c>
      <c r="D474" s="3" t="s">
        <v>29</v>
      </c>
      <c r="E474" s="3" t="s">
        <v>98</v>
      </c>
      <c r="F474" s="3" t="s">
        <v>68</v>
      </c>
      <c r="G474" s="3">
        <v>3</v>
      </c>
      <c r="H474" s="3">
        <v>1660</v>
      </c>
      <c r="I474" s="3">
        <v>4980</v>
      </c>
      <c r="J474" s="3" t="s">
        <v>16</v>
      </c>
      <c r="K474" s="3" t="s">
        <v>17</v>
      </c>
    </row>
    <row r="475" spans="1:11" x14ac:dyDescent="0.3">
      <c r="A475" s="5" t="s">
        <v>791</v>
      </c>
      <c r="B475" s="6">
        <v>45852</v>
      </c>
      <c r="C475" s="5" t="s">
        <v>693</v>
      </c>
      <c r="D475" s="5" t="s">
        <v>29</v>
      </c>
      <c r="E475" s="5" t="s">
        <v>24</v>
      </c>
      <c r="F475" s="5" t="s">
        <v>25</v>
      </c>
      <c r="G475" s="5">
        <v>10</v>
      </c>
      <c r="H475" s="5">
        <v>1242</v>
      </c>
      <c r="I475" s="5">
        <v>12420</v>
      </c>
      <c r="J475" s="5" t="s">
        <v>16</v>
      </c>
      <c r="K475" s="5" t="s">
        <v>89</v>
      </c>
    </row>
    <row r="476" spans="1:11" x14ac:dyDescent="0.3">
      <c r="A476" s="3" t="s">
        <v>792</v>
      </c>
      <c r="B476" s="4">
        <v>45681</v>
      </c>
      <c r="C476" s="3" t="s">
        <v>793</v>
      </c>
      <c r="D476" s="3" t="s">
        <v>59</v>
      </c>
      <c r="E476" s="3" t="s">
        <v>113</v>
      </c>
      <c r="F476" s="3" t="s">
        <v>49</v>
      </c>
      <c r="G476" s="3">
        <v>8</v>
      </c>
      <c r="H476" s="3">
        <v>11071</v>
      </c>
      <c r="I476" s="3">
        <v>88568</v>
      </c>
      <c r="J476" s="3" t="s">
        <v>16</v>
      </c>
      <c r="K476" s="3" t="s">
        <v>56</v>
      </c>
    </row>
    <row r="477" spans="1:11" x14ac:dyDescent="0.3">
      <c r="A477" s="5" t="s">
        <v>794</v>
      </c>
      <c r="B477" s="6">
        <v>45974</v>
      </c>
      <c r="C477" s="5" t="s">
        <v>795</v>
      </c>
      <c r="D477" s="5" t="s">
        <v>13</v>
      </c>
      <c r="E477" s="5" t="s">
        <v>52</v>
      </c>
      <c r="F477" s="5" t="s">
        <v>15</v>
      </c>
      <c r="G477" s="5">
        <v>6</v>
      </c>
      <c r="H477" s="5">
        <v>25095</v>
      </c>
      <c r="I477" s="5">
        <v>150570</v>
      </c>
      <c r="J477" s="5" t="s">
        <v>16</v>
      </c>
      <c r="K477" s="5" t="s">
        <v>99</v>
      </c>
    </row>
    <row r="478" spans="1:11" x14ac:dyDescent="0.3">
      <c r="A478" s="3" t="s">
        <v>796</v>
      </c>
      <c r="B478" s="4">
        <v>45734</v>
      </c>
      <c r="C478" s="3" t="s">
        <v>47</v>
      </c>
      <c r="D478" s="3" t="s">
        <v>13</v>
      </c>
      <c r="E478" s="3" t="s">
        <v>113</v>
      </c>
      <c r="F478" s="3" t="s">
        <v>49</v>
      </c>
      <c r="G478" s="3">
        <v>6</v>
      </c>
      <c r="H478" s="3">
        <v>12392</v>
      </c>
      <c r="I478" s="3">
        <v>74352</v>
      </c>
      <c r="J478" s="3" t="s">
        <v>16</v>
      </c>
      <c r="K478" s="3" t="s">
        <v>36</v>
      </c>
    </row>
    <row r="479" spans="1:11" x14ac:dyDescent="0.3">
      <c r="A479" s="5" t="s">
        <v>797</v>
      </c>
      <c r="B479" s="6">
        <v>45911</v>
      </c>
      <c r="C479" s="5" t="s">
        <v>798</v>
      </c>
      <c r="D479" s="5" t="s">
        <v>55</v>
      </c>
      <c r="E479" s="5" t="s">
        <v>20</v>
      </c>
      <c r="F479" s="5" t="s">
        <v>15</v>
      </c>
      <c r="G479" s="5">
        <v>3</v>
      </c>
      <c r="H479" s="5">
        <v>55061</v>
      </c>
      <c r="I479" s="5">
        <v>165183</v>
      </c>
      <c r="J479" s="5" t="s">
        <v>16</v>
      </c>
      <c r="K479" s="5" t="s">
        <v>17</v>
      </c>
    </row>
    <row r="480" spans="1:11" x14ac:dyDescent="0.3">
      <c r="A480" s="3" t="s">
        <v>799</v>
      </c>
      <c r="B480" s="4">
        <v>45772</v>
      </c>
      <c r="C480" s="3" t="s">
        <v>484</v>
      </c>
      <c r="D480" s="3" t="s">
        <v>55</v>
      </c>
      <c r="E480" s="3" t="s">
        <v>30</v>
      </c>
      <c r="F480" s="3" t="s">
        <v>31</v>
      </c>
      <c r="G480" s="3">
        <v>6</v>
      </c>
      <c r="H480" s="3">
        <v>875</v>
      </c>
      <c r="I480" s="3">
        <v>5250</v>
      </c>
      <c r="J480" s="3" t="s">
        <v>16</v>
      </c>
      <c r="K480" s="3" t="s">
        <v>64</v>
      </c>
    </row>
    <row r="481" spans="1:11" x14ac:dyDescent="0.3">
      <c r="A481" s="5" t="s">
        <v>800</v>
      </c>
      <c r="B481" s="6">
        <v>45703</v>
      </c>
      <c r="C481" s="5" t="s">
        <v>260</v>
      </c>
      <c r="D481" s="5" t="s">
        <v>29</v>
      </c>
      <c r="E481" s="5" t="s">
        <v>108</v>
      </c>
      <c r="F481" s="5" t="s">
        <v>49</v>
      </c>
      <c r="G481" s="5">
        <v>8</v>
      </c>
      <c r="H481" s="5">
        <v>6921</v>
      </c>
      <c r="I481" s="5">
        <v>55368</v>
      </c>
      <c r="J481" s="5" t="s">
        <v>16</v>
      </c>
      <c r="K481" s="5" t="s">
        <v>95</v>
      </c>
    </row>
    <row r="482" spans="1:11" x14ac:dyDescent="0.3">
      <c r="A482" s="3" t="s">
        <v>801</v>
      </c>
      <c r="B482" s="4">
        <v>45943</v>
      </c>
      <c r="C482" s="3" t="s">
        <v>484</v>
      </c>
      <c r="D482" s="3" t="s">
        <v>59</v>
      </c>
      <c r="E482" s="3" t="s">
        <v>67</v>
      </c>
      <c r="F482" s="3" t="s">
        <v>68</v>
      </c>
      <c r="G482" s="3">
        <v>1</v>
      </c>
      <c r="H482" s="3">
        <v>460</v>
      </c>
      <c r="I482" s="3">
        <v>460</v>
      </c>
      <c r="J482" s="3" t="s">
        <v>16</v>
      </c>
      <c r="K482" s="3" t="s">
        <v>39</v>
      </c>
    </row>
    <row r="483" spans="1:11" x14ac:dyDescent="0.3">
      <c r="A483" s="5" t="s">
        <v>802</v>
      </c>
      <c r="B483" s="6">
        <v>45993</v>
      </c>
      <c r="C483" s="5" t="s">
        <v>803</v>
      </c>
      <c r="D483" s="5" t="s">
        <v>55</v>
      </c>
      <c r="E483" s="5" t="s">
        <v>60</v>
      </c>
      <c r="F483" s="5" t="s">
        <v>25</v>
      </c>
      <c r="G483" s="5">
        <v>5</v>
      </c>
      <c r="H483" s="5">
        <v>1617</v>
      </c>
      <c r="I483" s="5">
        <v>8085</v>
      </c>
      <c r="J483" s="5" t="s">
        <v>16</v>
      </c>
      <c r="K483" s="5" t="s">
        <v>95</v>
      </c>
    </row>
    <row r="484" spans="1:11" x14ac:dyDescent="0.3">
      <c r="A484" s="3" t="s">
        <v>804</v>
      </c>
      <c r="B484" s="4">
        <v>45975</v>
      </c>
      <c r="C484" s="3" t="s">
        <v>805</v>
      </c>
      <c r="D484" s="3" t="s">
        <v>55</v>
      </c>
      <c r="E484" s="3" t="s">
        <v>30</v>
      </c>
      <c r="F484" s="3" t="s">
        <v>31</v>
      </c>
      <c r="G484" s="3">
        <v>4</v>
      </c>
      <c r="H484" s="3">
        <v>855</v>
      </c>
      <c r="I484" s="3">
        <v>3420</v>
      </c>
      <c r="J484" s="3" t="s">
        <v>16</v>
      </c>
      <c r="K484" s="3" t="s">
        <v>95</v>
      </c>
    </row>
    <row r="485" spans="1:11" x14ac:dyDescent="0.3">
      <c r="A485" s="5" t="s">
        <v>806</v>
      </c>
      <c r="B485" s="6">
        <v>45771</v>
      </c>
      <c r="C485" s="5" t="s">
        <v>807</v>
      </c>
      <c r="D485" s="5" t="s">
        <v>13</v>
      </c>
      <c r="E485" s="5" t="s">
        <v>34</v>
      </c>
      <c r="F485" s="5" t="s">
        <v>31</v>
      </c>
      <c r="G485" s="5">
        <v>8</v>
      </c>
      <c r="H485" s="5">
        <v>3229</v>
      </c>
      <c r="I485" s="5">
        <v>25832</v>
      </c>
      <c r="J485" s="5" t="s">
        <v>16</v>
      </c>
      <c r="K485" s="5" t="s">
        <v>61</v>
      </c>
    </row>
    <row r="486" spans="1:11" x14ac:dyDescent="0.3">
      <c r="A486" s="3" t="s">
        <v>808</v>
      </c>
      <c r="B486" s="4">
        <v>45742</v>
      </c>
      <c r="C486" s="3" t="s">
        <v>809</v>
      </c>
      <c r="D486" s="3" t="s">
        <v>29</v>
      </c>
      <c r="E486" s="3" t="s">
        <v>34</v>
      </c>
      <c r="F486" s="3" t="s">
        <v>31</v>
      </c>
      <c r="G486" s="3">
        <v>9</v>
      </c>
      <c r="H486" s="3">
        <v>3411</v>
      </c>
      <c r="I486" s="3">
        <v>30699</v>
      </c>
      <c r="J486" s="3" t="s">
        <v>16</v>
      </c>
      <c r="K486" s="3" t="s">
        <v>81</v>
      </c>
    </row>
    <row r="487" spans="1:11" x14ac:dyDescent="0.3">
      <c r="A487" s="5" t="s">
        <v>810</v>
      </c>
      <c r="B487" s="6">
        <v>45859</v>
      </c>
      <c r="C487" s="5" t="s">
        <v>645</v>
      </c>
      <c r="D487" s="5" t="s">
        <v>55</v>
      </c>
      <c r="E487" s="5" t="s">
        <v>73</v>
      </c>
      <c r="F487" s="5" t="s">
        <v>68</v>
      </c>
      <c r="G487" s="5">
        <v>5</v>
      </c>
      <c r="H487" s="5">
        <v>1226</v>
      </c>
      <c r="I487" s="5">
        <v>6130</v>
      </c>
      <c r="J487" s="5" t="s">
        <v>16</v>
      </c>
      <c r="K487" s="5" t="s">
        <v>95</v>
      </c>
    </row>
    <row r="488" spans="1:11" x14ac:dyDescent="0.3">
      <c r="A488" s="3" t="s">
        <v>811</v>
      </c>
      <c r="B488" s="4">
        <v>45982</v>
      </c>
      <c r="C488" s="3" t="s">
        <v>812</v>
      </c>
      <c r="D488" s="3" t="s">
        <v>55</v>
      </c>
      <c r="E488" s="3" t="s">
        <v>48</v>
      </c>
      <c r="F488" s="3" t="s">
        <v>49</v>
      </c>
      <c r="G488" s="3">
        <v>6</v>
      </c>
      <c r="H488" s="3">
        <v>8293</v>
      </c>
      <c r="I488" s="3">
        <v>49758</v>
      </c>
      <c r="J488" s="3" t="s">
        <v>16</v>
      </c>
      <c r="K488" s="3" t="s">
        <v>89</v>
      </c>
    </row>
    <row r="489" spans="1:11" x14ac:dyDescent="0.3">
      <c r="A489" s="5" t="s">
        <v>813</v>
      </c>
      <c r="B489" s="6">
        <v>45913</v>
      </c>
      <c r="C489" s="5" t="s">
        <v>170</v>
      </c>
      <c r="D489" s="5" t="s">
        <v>59</v>
      </c>
      <c r="E489" s="5" t="s">
        <v>98</v>
      </c>
      <c r="F489" s="5" t="s">
        <v>68</v>
      </c>
      <c r="G489" s="5">
        <v>10</v>
      </c>
      <c r="H489" s="5">
        <v>1964</v>
      </c>
      <c r="I489" s="5">
        <v>19640</v>
      </c>
      <c r="J489" s="5" t="s">
        <v>16</v>
      </c>
      <c r="K489" s="5" t="s">
        <v>92</v>
      </c>
    </row>
    <row r="490" spans="1:11" x14ac:dyDescent="0.3">
      <c r="A490" s="3" t="s">
        <v>814</v>
      </c>
      <c r="B490" s="4">
        <v>45748</v>
      </c>
      <c r="C490" s="3" t="s">
        <v>512</v>
      </c>
      <c r="D490" s="3" t="s">
        <v>13</v>
      </c>
      <c r="E490" s="3" t="s">
        <v>24</v>
      </c>
      <c r="F490" s="3" t="s">
        <v>25</v>
      </c>
      <c r="G490" s="3">
        <v>10</v>
      </c>
      <c r="H490" s="3">
        <v>1195</v>
      </c>
      <c r="I490" s="3">
        <v>11950</v>
      </c>
      <c r="J490" s="3" t="s">
        <v>16</v>
      </c>
      <c r="K490" s="3" t="s">
        <v>81</v>
      </c>
    </row>
    <row r="491" spans="1:11" x14ac:dyDescent="0.3">
      <c r="A491" s="5" t="s">
        <v>815</v>
      </c>
      <c r="B491" s="6">
        <v>45822</v>
      </c>
      <c r="C491" s="5" t="s">
        <v>610</v>
      </c>
      <c r="D491" s="5" t="s">
        <v>13</v>
      </c>
      <c r="E491" s="5" t="s">
        <v>108</v>
      </c>
      <c r="F491" s="5" t="s">
        <v>49</v>
      </c>
      <c r="G491" s="5">
        <v>7</v>
      </c>
      <c r="H491" s="5">
        <v>7220</v>
      </c>
      <c r="I491" s="5">
        <v>50540</v>
      </c>
      <c r="J491" s="5" t="s">
        <v>16</v>
      </c>
      <c r="K491" s="5" t="s">
        <v>36</v>
      </c>
    </row>
    <row r="492" spans="1:11" x14ac:dyDescent="0.3">
      <c r="A492" s="3" t="s">
        <v>816</v>
      </c>
      <c r="B492" s="4">
        <v>45808</v>
      </c>
      <c r="C492" s="3" t="s">
        <v>425</v>
      </c>
      <c r="D492" s="3" t="s">
        <v>29</v>
      </c>
      <c r="E492" s="3" t="s">
        <v>60</v>
      </c>
      <c r="F492" s="3" t="s">
        <v>25</v>
      </c>
      <c r="G492" s="3">
        <v>4</v>
      </c>
      <c r="H492" s="3">
        <v>1432</v>
      </c>
      <c r="I492" s="3">
        <v>5728</v>
      </c>
      <c r="J492" s="3" t="s">
        <v>128</v>
      </c>
      <c r="K492" s="3" t="s">
        <v>84</v>
      </c>
    </row>
    <row r="493" spans="1:11" x14ac:dyDescent="0.3">
      <c r="A493" s="5" t="s">
        <v>817</v>
      </c>
      <c r="B493" s="6">
        <v>45818</v>
      </c>
      <c r="C493" s="5" t="s">
        <v>662</v>
      </c>
      <c r="D493" s="5" t="s">
        <v>59</v>
      </c>
      <c r="E493" s="5" t="s">
        <v>67</v>
      </c>
      <c r="F493" s="5" t="s">
        <v>68</v>
      </c>
      <c r="G493" s="5">
        <v>9</v>
      </c>
      <c r="H493" s="5">
        <v>479</v>
      </c>
      <c r="I493" s="5">
        <v>4311</v>
      </c>
      <c r="J493" s="5" t="s">
        <v>16</v>
      </c>
      <c r="K493" s="5" t="s">
        <v>64</v>
      </c>
    </row>
    <row r="494" spans="1:11" x14ac:dyDescent="0.3">
      <c r="A494" s="3" t="s">
        <v>818</v>
      </c>
      <c r="B494" s="4">
        <v>45725</v>
      </c>
      <c r="C494" s="3" t="s">
        <v>396</v>
      </c>
      <c r="D494" s="3" t="s">
        <v>59</v>
      </c>
      <c r="E494" s="3" t="s">
        <v>48</v>
      </c>
      <c r="F494" s="3" t="s">
        <v>49</v>
      </c>
      <c r="G494" s="3">
        <v>5</v>
      </c>
      <c r="H494" s="3">
        <v>9335</v>
      </c>
      <c r="I494" s="3">
        <v>46675</v>
      </c>
      <c r="J494" s="3" t="s">
        <v>35</v>
      </c>
      <c r="K494" s="3" t="s">
        <v>81</v>
      </c>
    </row>
    <row r="495" spans="1:11" x14ac:dyDescent="0.3">
      <c r="A495" s="5" t="s">
        <v>819</v>
      </c>
      <c r="B495" s="6">
        <v>45956</v>
      </c>
      <c r="C495" s="5" t="s">
        <v>719</v>
      </c>
      <c r="D495" s="5" t="s">
        <v>29</v>
      </c>
      <c r="E495" s="5" t="s">
        <v>34</v>
      </c>
      <c r="F495" s="5" t="s">
        <v>31</v>
      </c>
      <c r="G495" s="5">
        <v>2</v>
      </c>
      <c r="H495" s="5">
        <v>3682</v>
      </c>
      <c r="I495" s="5">
        <v>7364</v>
      </c>
      <c r="J495" s="5" t="s">
        <v>16</v>
      </c>
      <c r="K495" s="5" t="s">
        <v>64</v>
      </c>
    </row>
    <row r="496" spans="1:11" x14ac:dyDescent="0.3">
      <c r="A496" s="3" t="s">
        <v>820</v>
      </c>
      <c r="B496" s="4">
        <v>45670</v>
      </c>
      <c r="C496" s="3" t="s">
        <v>821</v>
      </c>
      <c r="D496" s="3" t="s">
        <v>13</v>
      </c>
      <c r="E496" s="3" t="s">
        <v>24</v>
      </c>
      <c r="F496" s="3" t="s">
        <v>25</v>
      </c>
      <c r="G496" s="3">
        <v>7</v>
      </c>
      <c r="H496" s="3">
        <v>1273</v>
      </c>
      <c r="I496" s="3">
        <v>8911</v>
      </c>
      <c r="J496" s="3" t="s">
        <v>16</v>
      </c>
      <c r="K496" s="3" t="s">
        <v>81</v>
      </c>
    </row>
    <row r="497" spans="1:11" x14ac:dyDescent="0.3">
      <c r="A497" s="5" t="s">
        <v>822</v>
      </c>
      <c r="B497" s="6">
        <v>45804</v>
      </c>
      <c r="C497" s="5" t="s">
        <v>281</v>
      </c>
      <c r="D497" s="5" t="s">
        <v>59</v>
      </c>
      <c r="E497" s="5" t="s">
        <v>52</v>
      </c>
      <c r="F497" s="5" t="s">
        <v>15</v>
      </c>
      <c r="G497" s="5">
        <v>5</v>
      </c>
      <c r="H497" s="5">
        <v>26250</v>
      </c>
      <c r="I497" s="5">
        <v>131250</v>
      </c>
      <c r="J497" s="5" t="s">
        <v>16</v>
      </c>
      <c r="K497" s="5" t="s">
        <v>56</v>
      </c>
    </row>
    <row r="498" spans="1:11" x14ac:dyDescent="0.3">
      <c r="A498" s="3" t="s">
        <v>823</v>
      </c>
      <c r="B498" s="4">
        <v>45889</v>
      </c>
      <c r="C498" s="3" t="s">
        <v>824</v>
      </c>
      <c r="D498" s="3" t="s">
        <v>59</v>
      </c>
      <c r="E498" s="3" t="s">
        <v>14</v>
      </c>
      <c r="F498" s="3" t="s">
        <v>15</v>
      </c>
      <c r="G498" s="3">
        <v>4</v>
      </c>
      <c r="H498" s="3">
        <v>3152</v>
      </c>
      <c r="I498" s="3">
        <v>12608</v>
      </c>
      <c r="J498" s="3" t="s">
        <v>16</v>
      </c>
      <c r="K498" s="3" t="s">
        <v>89</v>
      </c>
    </row>
    <row r="499" spans="1:11" x14ac:dyDescent="0.3">
      <c r="A499" s="5" t="s">
        <v>825</v>
      </c>
      <c r="B499" s="6">
        <v>46014</v>
      </c>
      <c r="C499" s="5" t="s">
        <v>285</v>
      </c>
      <c r="D499" s="5" t="s">
        <v>55</v>
      </c>
      <c r="E499" s="5" t="s">
        <v>80</v>
      </c>
      <c r="F499" s="5" t="s">
        <v>25</v>
      </c>
      <c r="G499" s="5">
        <v>9</v>
      </c>
      <c r="H499" s="5">
        <v>2444</v>
      </c>
      <c r="I499" s="5">
        <v>21996</v>
      </c>
      <c r="J499" s="5" t="s">
        <v>16</v>
      </c>
      <c r="K499" s="5" t="s">
        <v>26</v>
      </c>
    </row>
    <row r="500" spans="1:11" x14ac:dyDescent="0.3">
      <c r="A500" s="3" t="s">
        <v>826</v>
      </c>
      <c r="B500" s="4">
        <v>45818</v>
      </c>
      <c r="C500" s="3" t="s">
        <v>258</v>
      </c>
      <c r="D500" s="3" t="s">
        <v>13</v>
      </c>
      <c r="E500" s="3" t="s">
        <v>98</v>
      </c>
      <c r="F500" s="3" t="s">
        <v>68</v>
      </c>
      <c r="G500" s="3">
        <v>7</v>
      </c>
      <c r="H500" s="3">
        <v>1964</v>
      </c>
      <c r="I500" s="3">
        <v>13748</v>
      </c>
      <c r="J500" s="3" t="s">
        <v>128</v>
      </c>
      <c r="K500" s="3" t="s">
        <v>39</v>
      </c>
    </row>
    <row r="501" spans="1:11" x14ac:dyDescent="0.3">
      <c r="A501" s="5" t="s">
        <v>827</v>
      </c>
      <c r="B501" s="6">
        <v>45884</v>
      </c>
      <c r="C501" s="5" t="s">
        <v>438</v>
      </c>
      <c r="D501" s="5" t="s">
        <v>59</v>
      </c>
      <c r="E501" s="5" t="s">
        <v>30</v>
      </c>
      <c r="F501" s="5" t="s">
        <v>31</v>
      </c>
      <c r="G501" s="5">
        <v>10</v>
      </c>
      <c r="H501" s="5">
        <v>859</v>
      </c>
      <c r="I501" s="5">
        <v>8590</v>
      </c>
      <c r="J501" s="5" t="s">
        <v>16</v>
      </c>
      <c r="K501" s="5" t="s">
        <v>36</v>
      </c>
    </row>
    <row r="502" spans="1:11" x14ac:dyDescent="0.3">
      <c r="A502" s="3" t="s">
        <v>828</v>
      </c>
      <c r="B502" s="4">
        <v>45757</v>
      </c>
      <c r="C502" s="3" t="s">
        <v>409</v>
      </c>
      <c r="D502" s="3" t="s">
        <v>13</v>
      </c>
      <c r="E502" s="3" t="s">
        <v>34</v>
      </c>
      <c r="F502" s="3" t="s">
        <v>31</v>
      </c>
      <c r="G502" s="3">
        <v>9</v>
      </c>
      <c r="H502" s="3">
        <v>3666</v>
      </c>
      <c r="I502" s="3">
        <v>32994</v>
      </c>
      <c r="J502" s="3" t="s">
        <v>16</v>
      </c>
      <c r="K502" s="3" t="s">
        <v>95</v>
      </c>
    </row>
    <row r="503" spans="1:11" x14ac:dyDescent="0.3">
      <c r="A503" s="5" t="s">
        <v>829</v>
      </c>
      <c r="B503" s="6">
        <v>45678</v>
      </c>
      <c r="C503" s="5" t="s">
        <v>233</v>
      </c>
      <c r="D503" s="5" t="s">
        <v>59</v>
      </c>
      <c r="E503" s="5" t="s">
        <v>52</v>
      </c>
      <c r="F503" s="5" t="s">
        <v>15</v>
      </c>
      <c r="G503" s="5">
        <v>3</v>
      </c>
      <c r="H503" s="5">
        <v>26175</v>
      </c>
      <c r="I503" s="5">
        <v>78525</v>
      </c>
      <c r="J503" s="5" t="s">
        <v>16</v>
      </c>
      <c r="K503" s="5" t="s">
        <v>56</v>
      </c>
    </row>
    <row r="504" spans="1:11" x14ac:dyDescent="0.3">
      <c r="A504" s="3" t="s">
        <v>830</v>
      </c>
      <c r="B504" s="4">
        <v>45896</v>
      </c>
      <c r="C504" s="3" t="s">
        <v>673</v>
      </c>
      <c r="D504" s="3" t="s">
        <v>13</v>
      </c>
      <c r="E504" s="3" t="s">
        <v>108</v>
      </c>
      <c r="F504" s="3" t="s">
        <v>49</v>
      </c>
      <c r="G504" s="3">
        <v>10</v>
      </c>
      <c r="H504" s="3">
        <v>7484</v>
      </c>
      <c r="I504" s="3">
        <v>74840</v>
      </c>
      <c r="J504" s="3" t="s">
        <v>16</v>
      </c>
      <c r="K504" s="3" t="s">
        <v>39</v>
      </c>
    </row>
    <row r="505" spans="1:11" x14ac:dyDescent="0.3">
      <c r="A505" s="5" t="s">
        <v>831</v>
      </c>
      <c r="B505" s="6">
        <v>45996</v>
      </c>
      <c r="C505" s="5" t="s">
        <v>832</v>
      </c>
      <c r="D505" s="5" t="s">
        <v>59</v>
      </c>
      <c r="E505" s="5" t="s">
        <v>34</v>
      </c>
      <c r="F505" s="5" t="s">
        <v>31</v>
      </c>
      <c r="G505" s="5">
        <v>1</v>
      </c>
      <c r="H505" s="5">
        <v>3691</v>
      </c>
      <c r="I505" s="5">
        <v>3691</v>
      </c>
      <c r="J505" s="5" t="s">
        <v>16</v>
      </c>
      <c r="K505" s="5" t="s">
        <v>95</v>
      </c>
    </row>
    <row r="506" spans="1:11" x14ac:dyDescent="0.3">
      <c r="A506" s="3" t="s">
        <v>833</v>
      </c>
      <c r="B506" s="4">
        <v>45770</v>
      </c>
      <c r="C506" s="3" t="s">
        <v>228</v>
      </c>
      <c r="D506" s="3" t="s">
        <v>55</v>
      </c>
      <c r="E506" s="3" t="s">
        <v>24</v>
      </c>
      <c r="F506" s="3" t="s">
        <v>25</v>
      </c>
      <c r="G506" s="3">
        <v>2</v>
      </c>
      <c r="H506" s="3">
        <v>1268</v>
      </c>
      <c r="I506" s="3">
        <v>2536</v>
      </c>
      <c r="J506" s="3" t="s">
        <v>16</v>
      </c>
      <c r="K506" s="3" t="s">
        <v>92</v>
      </c>
    </row>
    <row r="507" spans="1:11" x14ac:dyDescent="0.3">
      <c r="A507" s="5" t="s">
        <v>834</v>
      </c>
      <c r="B507" s="6">
        <v>45836</v>
      </c>
      <c r="C507" s="5" t="s">
        <v>707</v>
      </c>
      <c r="D507" s="5" t="s">
        <v>59</v>
      </c>
      <c r="E507" s="5" t="s">
        <v>80</v>
      </c>
      <c r="F507" s="5" t="s">
        <v>25</v>
      </c>
      <c r="G507" s="5">
        <v>7</v>
      </c>
      <c r="H507" s="5">
        <v>2521</v>
      </c>
      <c r="I507" s="5">
        <v>17647</v>
      </c>
      <c r="J507" s="5" t="s">
        <v>16</v>
      </c>
      <c r="K507" s="5" t="s">
        <v>36</v>
      </c>
    </row>
    <row r="508" spans="1:11" x14ac:dyDescent="0.3">
      <c r="A508" s="3" t="s">
        <v>835</v>
      </c>
      <c r="B508" s="4">
        <v>45974</v>
      </c>
      <c r="C508" s="3" t="s">
        <v>75</v>
      </c>
      <c r="D508" s="3" t="s">
        <v>59</v>
      </c>
      <c r="E508" s="3" t="s">
        <v>45</v>
      </c>
      <c r="F508" s="3" t="s">
        <v>31</v>
      </c>
      <c r="G508" s="3">
        <v>6</v>
      </c>
      <c r="H508" s="3">
        <v>1725</v>
      </c>
      <c r="I508" s="3">
        <v>10350</v>
      </c>
      <c r="J508" s="3" t="s">
        <v>128</v>
      </c>
      <c r="K508" s="3" t="s">
        <v>95</v>
      </c>
    </row>
    <row r="509" spans="1:11" x14ac:dyDescent="0.3">
      <c r="A509" s="5" t="s">
        <v>836</v>
      </c>
      <c r="B509" s="6">
        <v>45972</v>
      </c>
      <c r="C509" s="5" t="s">
        <v>400</v>
      </c>
      <c r="D509" s="5" t="s">
        <v>55</v>
      </c>
      <c r="E509" s="5" t="s">
        <v>20</v>
      </c>
      <c r="F509" s="5" t="s">
        <v>15</v>
      </c>
      <c r="G509" s="5">
        <v>6</v>
      </c>
      <c r="H509" s="5">
        <v>54402</v>
      </c>
      <c r="I509" s="5">
        <v>326412</v>
      </c>
      <c r="J509" s="5" t="s">
        <v>35</v>
      </c>
      <c r="K509" s="5" t="s">
        <v>21</v>
      </c>
    </row>
    <row r="510" spans="1:11" x14ac:dyDescent="0.3">
      <c r="A510" s="3" t="s">
        <v>837</v>
      </c>
      <c r="B510" s="4">
        <v>45802</v>
      </c>
      <c r="C510" s="3" t="s">
        <v>147</v>
      </c>
      <c r="D510" s="3" t="s">
        <v>55</v>
      </c>
      <c r="E510" s="3" t="s">
        <v>45</v>
      </c>
      <c r="F510" s="3" t="s">
        <v>31</v>
      </c>
      <c r="G510" s="3">
        <v>2</v>
      </c>
      <c r="H510" s="3">
        <v>1758</v>
      </c>
      <c r="I510" s="3">
        <v>3516</v>
      </c>
      <c r="J510" s="3" t="s">
        <v>16</v>
      </c>
      <c r="K510" s="3" t="s">
        <v>36</v>
      </c>
    </row>
    <row r="511" spans="1:11" x14ac:dyDescent="0.3">
      <c r="A511" s="5" t="s">
        <v>838</v>
      </c>
      <c r="B511" s="6">
        <v>45991</v>
      </c>
      <c r="C511" s="5" t="s">
        <v>220</v>
      </c>
      <c r="D511" s="5" t="s">
        <v>29</v>
      </c>
      <c r="E511" s="5" t="s">
        <v>34</v>
      </c>
      <c r="F511" s="5" t="s">
        <v>31</v>
      </c>
      <c r="G511" s="5">
        <v>9</v>
      </c>
      <c r="H511" s="5">
        <v>3461</v>
      </c>
      <c r="I511" s="5">
        <v>31149</v>
      </c>
      <c r="J511" s="5" t="s">
        <v>16</v>
      </c>
      <c r="K511" s="5" t="s">
        <v>61</v>
      </c>
    </row>
    <row r="512" spans="1:11" x14ac:dyDescent="0.3">
      <c r="A512" s="3" t="s">
        <v>839</v>
      </c>
      <c r="B512" s="4">
        <v>45765</v>
      </c>
      <c r="C512" s="3" t="s">
        <v>803</v>
      </c>
      <c r="D512" s="3" t="s">
        <v>29</v>
      </c>
      <c r="E512" s="3" t="s">
        <v>52</v>
      </c>
      <c r="F512" s="3" t="s">
        <v>15</v>
      </c>
      <c r="G512" s="3">
        <v>9</v>
      </c>
      <c r="H512" s="3">
        <v>25166</v>
      </c>
      <c r="I512" s="3">
        <v>226494</v>
      </c>
      <c r="J512" s="3" t="s">
        <v>16</v>
      </c>
      <c r="K512" s="3" t="s">
        <v>64</v>
      </c>
    </row>
    <row r="513" spans="1:11" x14ac:dyDescent="0.3">
      <c r="A513" s="5" t="s">
        <v>840</v>
      </c>
      <c r="B513" s="6">
        <v>45880</v>
      </c>
      <c r="C513" s="5" t="s">
        <v>44</v>
      </c>
      <c r="D513" s="5" t="s">
        <v>55</v>
      </c>
      <c r="E513" s="5" t="s">
        <v>73</v>
      </c>
      <c r="F513" s="5" t="s">
        <v>68</v>
      </c>
      <c r="G513" s="5">
        <v>4</v>
      </c>
      <c r="H513" s="5">
        <v>1209</v>
      </c>
      <c r="I513" s="5">
        <v>4836</v>
      </c>
      <c r="J513" s="5" t="s">
        <v>16</v>
      </c>
      <c r="K513" s="5" t="s">
        <v>42</v>
      </c>
    </row>
    <row r="514" spans="1:11" x14ac:dyDescent="0.3">
      <c r="A514" s="3" t="s">
        <v>841</v>
      </c>
      <c r="B514" s="4">
        <v>45695</v>
      </c>
      <c r="C514" s="3" t="s">
        <v>230</v>
      </c>
      <c r="D514" s="3" t="s">
        <v>55</v>
      </c>
      <c r="E514" s="3" t="s">
        <v>108</v>
      </c>
      <c r="F514" s="3" t="s">
        <v>49</v>
      </c>
      <c r="G514" s="3">
        <v>8</v>
      </c>
      <c r="H514" s="3">
        <v>7303</v>
      </c>
      <c r="I514" s="3">
        <v>58424</v>
      </c>
      <c r="J514" s="3" t="s">
        <v>16</v>
      </c>
      <c r="K514" s="3" t="s">
        <v>81</v>
      </c>
    </row>
    <row r="515" spans="1:11" x14ac:dyDescent="0.3">
      <c r="A515" s="5" t="s">
        <v>842</v>
      </c>
      <c r="B515" s="6">
        <v>45866</v>
      </c>
      <c r="C515" s="5" t="s">
        <v>691</v>
      </c>
      <c r="D515" s="5" t="s">
        <v>55</v>
      </c>
      <c r="E515" s="5" t="s">
        <v>80</v>
      </c>
      <c r="F515" s="5" t="s">
        <v>25</v>
      </c>
      <c r="G515" s="5">
        <v>10</v>
      </c>
      <c r="H515" s="5">
        <v>2660</v>
      </c>
      <c r="I515" s="5">
        <v>26600</v>
      </c>
      <c r="J515" s="5" t="s">
        <v>35</v>
      </c>
      <c r="K515" s="5" t="s">
        <v>95</v>
      </c>
    </row>
    <row r="516" spans="1:11" x14ac:dyDescent="0.3">
      <c r="A516" s="3" t="s">
        <v>843</v>
      </c>
      <c r="B516" s="4">
        <v>45661</v>
      </c>
      <c r="C516" s="3" t="s">
        <v>544</v>
      </c>
      <c r="D516" s="3" t="s">
        <v>13</v>
      </c>
      <c r="E516" s="3" t="s">
        <v>98</v>
      </c>
      <c r="F516" s="3" t="s">
        <v>68</v>
      </c>
      <c r="G516" s="3">
        <v>1</v>
      </c>
      <c r="H516" s="3">
        <v>1760</v>
      </c>
      <c r="I516" s="3">
        <v>1760</v>
      </c>
      <c r="J516" s="3" t="s">
        <v>16</v>
      </c>
      <c r="K516" s="3" t="s">
        <v>26</v>
      </c>
    </row>
    <row r="517" spans="1:11" x14ac:dyDescent="0.3">
      <c r="A517" s="5" t="s">
        <v>844</v>
      </c>
      <c r="B517" s="6">
        <v>45806</v>
      </c>
      <c r="C517" s="5" t="s">
        <v>832</v>
      </c>
      <c r="D517" s="5" t="s">
        <v>13</v>
      </c>
      <c r="E517" s="5" t="s">
        <v>80</v>
      </c>
      <c r="F517" s="5" t="s">
        <v>25</v>
      </c>
      <c r="G517" s="5">
        <v>2</v>
      </c>
      <c r="H517" s="5">
        <v>2428</v>
      </c>
      <c r="I517" s="5">
        <v>4856</v>
      </c>
      <c r="J517" s="5" t="s">
        <v>16</v>
      </c>
      <c r="K517" s="5" t="s">
        <v>89</v>
      </c>
    </row>
    <row r="518" spans="1:11" x14ac:dyDescent="0.3">
      <c r="A518" s="3" t="s">
        <v>845</v>
      </c>
      <c r="B518" s="4">
        <v>45738</v>
      </c>
      <c r="C518" s="3" t="s">
        <v>189</v>
      </c>
      <c r="D518" s="3" t="s">
        <v>59</v>
      </c>
      <c r="E518" s="3" t="s">
        <v>98</v>
      </c>
      <c r="F518" s="3" t="s">
        <v>68</v>
      </c>
      <c r="G518" s="3">
        <v>7</v>
      </c>
      <c r="H518" s="3">
        <v>1915</v>
      </c>
      <c r="I518" s="3">
        <v>13405</v>
      </c>
      <c r="J518" s="3" t="s">
        <v>16</v>
      </c>
      <c r="K518" s="3" t="s">
        <v>21</v>
      </c>
    </row>
    <row r="519" spans="1:11" x14ac:dyDescent="0.3">
      <c r="A519" s="5" t="s">
        <v>846</v>
      </c>
      <c r="B519" s="6">
        <v>46004</v>
      </c>
      <c r="C519" s="5" t="s">
        <v>44</v>
      </c>
      <c r="D519" s="5" t="s">
        <v>59</v>
      </c>
      <c r="E519" s="5" t="s">
        <v>67</v>
      </c>
      <c r="F519" s="5" t="s">
        <v>68</v>
      </c>
      <c r="G519" s="5">
        <v>5</v>
      </c>
      <c r="H519" s="5">
        <v>546</v>
      </c>
      <c r="I519" s="5">
        <v>2730</v>
      </c>
      <c r="J519" s="5" t="s">
        <v>16</v>
      </c>
      <c r="K519" s="5" t="s">
        <v>61</v>
      </c>
    </row>
    <row r="520" spans="1:11" x14ac:dyDescent="0.3">
      <c r="A520" s="3" t="s">
        <v>847</v>
      </c>
      <c r="B520" s="4">
        <v>45859</v>
      </c>
      <c r="C520" s="3" t="s">
        <v>154</v>
      </c>
      <c r="D520" s="3" t="s">
        <v>55</v>
      </c>
      <c r="E520" s="3" t="s">
        <v>52</v>
      </c>
      <c r="F520" s="3" t="s">
        <v>15</v>
      </c>
      <c r="G520" s="3">
        <v>2</v>
      </c>
      <c r="H520" s="3">
        <v>22708</v>
      </c>
      <c r="I520" s="3">
        <v>45416</v>
      </c>
      <c r="J520" s="3" t="s">
        <v>16</v>
      </c>
      <c r="K520" s="3" t="s">
        <v>92</v>
      </c>
    </row>
    <row r="521" spans="1:11" x14ac:dyDescent="0.3">
      <c r="A521" s="5" t="s">
        <v>848</v>
      </c>
      <c r="B521" s="6">
        <v>45920</v>
      </c>
      <c r="C521" s="5" t="s">
        <v>241</v>
      </c>
      <c r="D521" s="5" t="s">
        <v>55</v>
      </c>
      <c r="E521" s="5" t="s">
        <v>30</v>
      </c>
      <c r="F521" s="5" t="s">
        <v>31</v>
      </c>
      <c r="G521" s="5">
        <v>6</v>
      </c>
      <c r="H521" s="5">
        <v>753</v>
      </c>
      <c r="I521" s="5">
        <v>4518</v>
      </c>
      <c r="J521" s="5" t="s">
        <v>35</v>
      </c>
      <c r="K521" s="5" t="s">
        <v>81</v>
      </c>
    </row>
    <row r="522" spans="1:11" x14ac:dyDescent="0.3">
      <c r="A522" s="3" t="s">
        <v>849</v>
      </c>
      <c r="B522" s="4">
        <v>45948</v>
      </c>
      <c r="C522" s="3" t="s">
        <v>230</v>
      </c>
      <c r="D522" s="3" t="s">
        <v>59</v>
      </c>
      <c r="E522" s="3" t="s">
        <v>24</v>
      </c>
      <c r="F522" s="3" t="s">
        <v>25</v>
      </c>
      <c r="G522" s="3">
        <v>4</v>
      </c>
      <c r="H522" s="3">
        <v>1107</v>
      </c>
      <c r="I522" s="3">
        <v>4428</v>
      </c>
      <c r="J522" s="3" t="s">
        <v>16</v>
      </c>
      <c r="K522" s="3" t="s">
        <v>42</v>
      </c>
    </row>
    <row r="523" spans="1:11" x14ac:dyDescent="0.3">
      <c r="A523" s="5" t="s">
        <v>850</v>
      </c>
      <c r="B523" s="6">
        <v>45786</v>
      </c>
      <c r="C523" s="5" t="s">
        <v>277</v>
      </c>
      <c r="D523" s="5" t="s">
        <v>55</v>
      </c>
      <c r="E523" s="5" t="s">
        <v>24</v>
      </c>
      <c r="F523" s="5" t="s">
        <v>25</v>
      </c>
      <c r="G523" s="5">
        <v>9</v>
      </c>
      <c r="H523" s="5">
        <v>1097</v>
      </c>
      <c r="I523" s="5">
        <v>9873</v>
      </c>
      <c r="J523" s="5" t="s">
        <v>16</v>
      </c>
      <c r="K523" s="5" t="s">
        <v>21</v>
      </c>
    </row>
    <row r="524" spans="1:11" x14ac:dyDescent="0.3">
      <c r="A524" s="3" t="s">
        <v>851</v>
      </c>
      <c r="B524" s="4">
        <v>45709</v>
      </c>
      <c r="C524" s="3" t="s">
        <v>126</v>
      </c>
      <c r="D524" s="3" t="s">
        <v>13</v>
      </c>
      <c r="E524" s="3" t="s">
        <v>98</v>
      </c>
      <c r="F524" s="3" t="s">
        <v>68</v>
      </c>
      <c r="G524" s="3">
        <v>6</v>
      </c>
      <c r="H524" s="3">
        <v>1666</v>
      </c>
      <c r="I524" s="3">
        <v>9996</v>
      </c>
      <c r="J524" s="3" t="s">
        <v>16</v>
      </c>
      <c r="K524" s="3" t="s">
        <v>89</v>
      </c>
    </row>
    <row r="525" spans="1:11" x14ac:dyDescent="0.3">
      <c r="A525" s="5" t="s">
        <v>852</v>
      </c>
      <c r="B525" s="6">
        <v>45814</v>
      </c>
      <c r="C525" s="5" t="s">
        <v>853</v>
      </c>
      <c r="D525" s="5" t="s">
        <v>59</v>
      </c>
      <c r="E525" s="5" t="s">
        <v>113</v>
      </c>
      <c r="F525" s="5" t="s">
        <v>49</v>
      </c>
      <c r="G525" s="5">
        <v>8</v>
      </c>
      <c r="H525" s="5">
        <v>11881</v>
      </c>
      <c r="I525" s="5">
        <v>95048</v>
      </c>
      <c r="J525" s="5" t="s">
        <v>16</v>
      </c>
      <c r="K525" s="5" t="s">
        <v>81</v>
      </c>
    </row>
    <row r="526" spans="1:11" x14ac:dyDescent="0.3">
      <c r="A526" s="3" t="s">
        <v>854</v>
      </c>
      <c r="B526" s="4">
        <v>45771</v>
      </c>
      <c r="C526" s="3" t="s">
        <v>544</v>
      </c>
      <c r="D526" s="3" t="s">
        <v>13</v>
      </c>
      <c r="E526" s="3" t="s">
        <v>45</v>
      </c>
      <c r="F526" s="3" t="s">
        <v>31</v>
      </c>
      <c r="G526" s="3">
        <v>7</v>
      </c>
      <c r="H526" s="3">
        <v>1680</v>
      </c>
      <c r="I526" s="3">
        <v>11760</v>
      </c>
      <c r="J526" s="3" t="s">
        <v>16</v>
      </c>
      <c r="K526" s="3" t="s">
        <v>99</v>
      </c>
    </row>
    <row r="527" spans="1:11" x14ac:dyDescent="0.3">
      <c r="A527" s="5" t="s">
        <v>855</v>
      </c>
      <c r="B527" s="6">
        <v>45841</v>
      </c>
      <c r="C527" s="5" t="s">
        <v>856</v>
      </c>
      <c r="D527" s="5" t="s">
        <v>59</v>
      </c>
      <c r="E527" s="5" t="s">
        <v>30</v>
      </c>
      <c r="F527" s="5" t="s">
        <v>31</v>
      </c>
      <c r="G527" s="5">
        <v>6</v>
      </c>
      <c r="H527" s="5">
        <v>860</v>
      </c>
      <c r="I527" s="5">
        <v>5160</v>
      </c>
      <c r="J527" s="5" t="s">
        <v>16</v>
      </c>
      <c r="K527" s="5" t="s">
        <v>95</v>
      </c>
    </row>
    <row r="528" spans="1:11" x14ac:dyDescent="0.3">
      <c r="A528" s="3" t="s">
        <v>857</v>
      </c>
      <c r="B528" s="4">
        <v>45729</v>
      </c>
      <c r="C528" s="3" t="s">
        <v>154</v>
      </c>
      <c r="D528" s="3" t="s">
        <v>13</v>
      </c>
      <c r="E528" s="3" t="s">
        <v>48</v>
      </c>
      <c r="F528" s="3" t="s">
        <v>49</v>
      </c>
      <c r="G528" s="3">
        <v>10</v>
      </c>
      <c r="H528" s="3">
        <v>8247</v>
      </c>
      <c r="I528" s="3">
        <v>82470</v>
      </c>
      <c r="J528" s="3" t="s">
        <v>16</v>
      </c>
      <c r="K528" s="3" t="s">
        <v>21</v>
      </c>
    </row>
    <row r="529" spans="1:11" x14ac:dyDescent="0.3">
      <c r="A529" s="5" t="s">
        <v>858</v>
      </c>
      <c r="B529" s="6">
        <v>45955</v>
      </c>
      <c r="C529" s="5" t="s">
        <v>512</v>
      </c>
      <c r="D529" s="5" t="s">
        <v>59</v>
      </c>
      <c r="E529" s="5" t="s">
        <v>20</v>
      </c>
      <c r="F529" s="5" t="s">
        <v>15</v>
      </c>
      <c r="G529" s="5">
        <v>1</v>
      </c>
      <c r="H529" s="5">
        <v>58845</v>
      </c>
      <c r="I529" s="5">
        <v>58845</v>
      </c>
      <c r="J529" s="5" t="s">
        <v>16</v>
      </c>
      <c r="K529" s="5" t="s">
        <v>99</v>
      </c>
    </row>
    <row r="530" spans="1:11" x14ac:dyDescent="0.3">
      <c r="A530" s="3" t="s">
        <v>859</v>
      </c>
      <c r="B530" s="4">
        <v>45934</v>
      </c>
      <c r="C530" s="3" t="s">
        <v>514</v>
      </c>
      <c r="D530" s="3" t="s">
        <v>55</v>
      </c>
      <c r="E530" s="3" t="s">
        <v>108</v>
      </c>
      <c r="F530" s="3" t="s">
        <v>49</v>
      </c>
      <c r="G530" s="3">
        <v>9</v>
      </c>
      <c r="H530" s="3">
        <v>6664</v>
      </c>
      <c r="I530" s="3">
        <v>59976</v>
      </c>
      <c r="J530" s="3" t="s">
        <v>16</v>
      </c>
      <c r="K530" s="3" t="s">
        <v>64</v>
      </c>
    </row>
    <row r="531" spans="1:11" x14ac:dyDescent="0.3">
      <c r="A531" s="5" t="s">
        <v>860</v>
      </c>
      <c r="B531" s="6">
        <v>45806</v>
      </c>
      <c r="C531" s="5" t="s">
        <v>634</v>
      </c>
      <c r="D531" s="5" t="s">
        <v>55</v>
      </c>
      <c r="E531" s="5" t="s">
        <v>45</v>
      </c>
      <c r="F531" s="5" t="s">
        <v>31</v>
      </c>
      <c r="G531" s="5">
        <v>4</v>
      </c>
      <c r="H531" s="5">
        <v>1940</v>
      </c>
      <c r="I531" s="5">
        <v>7760</v>
      </c>
      <c r="J531" s="5" t="s">
        <v>16</v>
      </c>
      <c r="K531" s="5" t="s">
        <v>95</v>
      </c>
    </row>
    <row r="532" spans="1:11" x14ac:dyDescent="0.3">
      <c r="A532" s="3" t="s">
        <v>861</v>
      </c>
      <c r="B532" s="4">
        <v>45972</v>
      </c>
      <c r="C532" s="3" t="s">
        <v>798</v>
      </c>
      <c r="D532" s="3" t="s">
        <v>29</v>
      </c>
      <c r="E532" s="3" t="s">
        <v>116</v>
      </c>
      <c r="F532" s="3" t="s">
        <v>15</v>
      </c>
      <c r="G532" s="3">
        <v>6</v>
      </c>
      <c r="H532" s="3">
        <v>8003</v>
      </c>
      <c r="I532" s="3">
        <v>48018</v>
      </c>
      <c r="J532" s="3" t="s">
        <v>16</v>
      </c>
      <c r="K532" s="3" t="s">
        <v>84</v>
      </c>
    </row>
    <row r="533" spans="1:11" x14ac:dyDescent="0.3">
      <c r="A533" s="5" t="s">
        <v>862</v>
      </c>
      <c r="B533" s="6">
        <v>45732</v>
      </c>
      <c r="C533" s="5" t="s">
        <v>597</v>
      </c>
      <c r="D533" s="5" t="s">
        <v>29</v>
      </c>
      <c r="E533" s="5" t="s">
        <v>73</v>
      </c>
      <c r="F533" s="5" t="s">
        <v>68</v>
      </c>
      <c r="G533" s="5">
        <v>3</v>
      </c>
      <c r="H533" s="5">
        <v>1215</v>
      </c>
      <c r="I533" s="5">
        <v>3645</v>
      </c>
      <c r="J533" s="5" t="s">
        <v>16</v>
      </c>
      <c r="K533" s="5" t="s">
        <v>61</v>
      </c>
    </row>
    <row r="534" spans="1:11" x14ac:dyDescent="0.3">
      <c r="A534" s="3" t="s">
        <v>863</v>
      </c>
      <c r="B534" s="4">
        <v>46000</v>
      </c>
      <c r="C534" s="3" t="s">
        <v>602</v>
      </c>
      <c r="D534" s="3" t="s">
        <v>59</v>
      </c>
      <c r="E534" s="3" t="s">
        <v>73</v>
      </c>
      <c r="F534" s="3" t="s">
        <v>68</v>
      </c>
      <c r="G534" s="3">
        <v>2</v>
      </c>
      <c r="H534" s="3">
        <v>1143</v>
      </c>
      <c r="I534" s="3">
        <v>2286</v>
      </c>
      <c r="J534" s="3" t="s">
        <v>16</v>
      </c>
      <c r="K534" s="3" t="s">
        <v>92</v>
      </c>
    </row>
    <row r="535" spans="1:11" x14ac:dyDescent="0.3">
      <c r="A535" s="5" t="s">
        <v>864</v>
      </c>
      <c r="B535" s="6">
        <v>45678</v>
      </c>
      <c r="C535" s="5" t="s">
        <v>396</v>
      </c>
      <c r="D535" s="5" t="s">
        <v>55</v>
      </c>
      <c r="E535" s="5" t="s">
        <v>45</v>
      </c>
      <c r="F535" s="5" t="s">
        <v>31</v>
      </c>
      <c r="G535" s="5">
        <v>8</v>
      </c>
      <c r="H535" s="5">
        <v>1950</v>
      </c>
      <c r="I535" s="5">
        <v>15600</v>
      </c>
      <c r="J535" s="5" t="s">
        <v>16</v>
      </c>
      <c r="K535" s="5" t="s">
        <v>61</v>
      </c>
    </row>
    <row r="536" spans="1:11" x14ac:dyDescent="0.3">
      <c r="A536" s="3" t="s">
        <v>865</v>
      </c>
      <c r="B536" s="4">
        <v>45936</v>
      </c>
      <c r="C536" s="3" t="s">
        <v>160</v>
      </c>
      <c r="D536" s="3" t="s">
        <v>59</v>
      </c>
      <c r="E536" s="3" t="s">
        <v>60</v>
      </c>
      <c r="F536" s="3" t="s">
        <v>25</v>
      </c>
      <c r="G536" s="3">
        <v>5</v>
      </c>
      <c r="H536" s="3">
        <v>1600</v>
      </c>
      <c r="I536" s="3">
        <v>8000</v>
      </c>
      <c r="J536" s="3" t="s">
        <v>16</v>
      </c>
      <c r="K536" s="3" t="s">
        <v>81</v>
      </c>
    </row>
    <row r="537" spans="1:11" x14ac:dyDescent="0.3">
      <c r="A537" s="5" t="s">
        <v>866</v>
      </c>
      <c r="B537" s="6">
        <v>45922</v>
      </c>
      <c r="C537" s="5" t="s">
        <v>287</v>
      </c>
      <c r="D537" s="5" t="s">
        <v>29</v>
      </c>
      <c r="E537" s="5" t="s">
        <v>98</v>
      </c>
      <c r="F537" s="5" t="s">
        <v>68</v>
      </c>
      <c r="G537" s="5">
        <v>10</v>
      </c>
      <c r="H537" s="5">
        <v>1855</v>
      </c>
      <c r="I537" s="5">
        <v>18550</v>
      </c>
      <c r="J537" s="5" t="s">
        <v>35</v>
      </c>
      <c r="K537" s="5" t="s">
        <v>99</v>
      </c>
    </row>
    <row r="538" spans="1:11" x14ac:dyDescent="0.3">
      <c r="A538" s="3" t="s">
        <v>867</v>
      </c>
      <c r="B538" s="4">
        <v>45907</v>
      </c>
      <c r="C538" s="3" t="s">
        <v>298</v>
      </c>
      <c r="D538" s="3" t="s">
        <v>55</v>
      </c>
      <c r="E538" s="3" t="s">
        <v>48</v>
      </c>
      <c r="F538" s="3" t="s">
        <v>49</v>
      </c>
      <c r="G538" s="3">
        <v>7</v>
      </c>
      <c r="H538" s="3">
        <v>8735</v>
      </c>
      <c r="I538" s="3">
        <v>61145</v>
      </c>
      <c r="J538" s="3" t="s">
        <v>16</v>
      </c>
      <c r="K538" s="3" t="s">
        <v>36</v>
      </c>
    </row>
    <row r="539" spans="1:11" x14ac:dyDescent="0.3">
      <c r="A539" s="5" t="s">
        <v>868</v>
      </c>
      <c r="B539" s="6">
        <v>45987</v>
      </c>
      <c r="C539" s="5" t="s">
        <v>869</v>
      </c>
      <c r="D539" s="5" t="s">
        <v>13</v>
      </c>
      <c r="E539" s="5" t="s">
        <v>80</v>
      </c>
      <c r="F539" s="5" t="s">
        <v>25</v>
      </c>
      <c r="G539" s="5">
        <v>8</v>
      </c>
      <c r="H539" s="5">
        <v>2332</v>
      </c>
      <c r="I539" s="5">
        <v>18656</v>
      </c>
      <c r="J539" s="5" t="s">
        <v>16</v>
      </c>
      <c r="K539" s="5" t="s">
        <v>21</v>
      </c>
    </row>
    <row r="540" spans="1:11" x14ac:dyDescent="0.3">
      <c r="A540" s="3" t="s">
        <v>870</v>
      </c>
      <c r="B540" s="4">
        <v>45775</v>
      </c>
      <c r="C540" s="3" t="s">
        <v>871</v>
      </c>
      <c r="D540" s="3" t="s">
        <v>59</v>
      </c>
      <c r="E540" s="3" t="s">
        <v>113</v>
      </c>
      <c r="F540" s="3" t="s">
        <v>49</v>
      </c>
      <c r="G540" s="3">
        <v>10</v>
      </c>
      <c r="H540" s="3">
        <v>12521</v>
      </c>
      <c r="I540" s="3">
        <v>125210</v>
      </c>
      <c r="J540" s="3" t="s">
        <v>16</v>
      </c>
      <c r="K540" s="3" t="s">
        <v>84</v>
      </c>
    </row>
    <row r="541" spans="1:11" x14ac:dyDescent="0.3">
      <c r="A541" s="5" t="s">
        <v>872</v>
      </c>
      <c r="B541" s="6">
        <v>45989</v>
      </c>
      <c r="C541" s="5" t="s">
        <v>432</v>
      </c>
      <c r="D541" s="5" t="s">
        <v>59</v>
      </c>
      <c r="E541" s="5" t="s">
        <v>116</v>
      </c>
      <c r="F541" s="5" t="s">
        <v>15</v>
      </c>
      <c r="G541" s="5">
        <v>8</v>
      </c>
      <c r="H541" s="5">
        <v>7966</v>
      </c>
      <c r="I541" s="5">
        <v>63728</v>
      </c>
      <c r="J541" s="5" t="s">
        <v>16</v>
      </c>
      <c r="K541" s="5" t="s">
        <v>39</v>
      </c>
    </row>
    <row r="542" spans="1:11" x14ac:dyDescent="0.3">
      <c r="A542" s="3" t="s">
        <v>873</v>
      </c>
      <c r="B542" s="4">
        <v>45678</v>
      </c>
      <c r="C542" s="3" t="s">
        <v>338</v>
      </c>
      <c r="D542" s="3" t="s">
        <v>59</v>
      </c>
      <c r="E542" s="3" t="s">
        <v>48</v>
      </c>
      <c r="F542" s="3" t="s">
        <v>49</v>
      </c>
      <c r="G542" s="3">
        <v>10</v>
      </c>
      <c r="H542" s="3">
        <v>8390</v>
      </c>
      <c r="I542" s="3">
        <v>83900</v>
      </c>
      <c r="J542" s="3" t="s">
        <v>16</v>
      </c>
      <c r="K542" s="3" t="s">
        <v>81</v>
      </c>
    </row>
    <row r="543" spans="1:11" x14ac:dyDescent="0.3">
      <c r="A543" s="5" t="s">
        <v>874</v>
      </c>
      <c r="B543" s="6">
        <v>45946</v>
      </c>
      <c r="C543" s="5" t="s">
        <v>226</v>
      </c>
      <c r="D543" s="5" t="s">
        <v>59</v>
      </c>
      <c r="E543" s="5" t="s">
        <v>30</v>
      </c>
      <c r="F543" s="5" t="s">
        <v>31</v>
      </c>
      <c r="G543" s="5">
        <v>9</v>
      </c>
      <c r="H543" s="5">
        <v>873</v>
      </c>
      <c r="I543" s="5">
        <v>7857</v>
      </c>
      <c r="J543" s="5" t="s">
        <v>16</v>
      </c>
      <c r="K543" s="5" t="s">
        <v>39</v>
      </c>
    </row>
    <row r="544" spans="1:11" x14ac:dyDescent="0.3">
      <c r="A544" s="3" t="s">
        <v>875</v>
      </c>
      <c r="B544" s="4">
        <v>45904</v>
      </c>
      <c r="C544" s="3" t="s">
        <v>876</v>
      </c>
      <c r="D544" s="3" t="s">
        <v>55</v>
      </c>
      <c r="E544" s="3" t="s">
        <v>30</v>
      </c>
      <c r="F544" s="3" t="s">
        <v>31</v>
      </c>
      <c r="G544" s="3">
        <v>4</v>
      </c>
      <c r="H544" s="3">
        <v>791</v>
      </c>
      <c r="I544" s="3">
        <v>3164</v>
      </c>
      <c r="J544" s="3" t="s">
        <v>128</v>
      </c>
      <c r="K544" s="3" t="s">
        <v>21</v>
      </c>
    </row>
    <row r="545" spans="1:11" x14ac:dyDescent="0.3">
      <c r="A545" s="5" t="s">
        <v>877</v>
      </c>
      <c r="B545" s="6">
        <v>45995</v>
      </c>
      <c r="C545" s="5" t="s">
        <v>152</v>
      </c>
      <c r="D545" s="5" t="s">
        <v>55</v>
      </c>
      <c r="E545" s="5" t="s">
        <v>80</v>
      </c>
      <c r="F545" s="5" t="s">
        <v>25</v>
      </c>
      <c r="G545" s="5">
        <v>10</v>
      </c>
      <c r="H545" s="5">
        <v>2660</v>
      </c>
      <c r="I545" s="5">
        <v>26600</v>
      </c>
      <c r="J545" s="5" t="s">
        <v>16</v>
      </c>
      <c r="K545" s="5" t="s">
        <v>56</v>
      </c>
    </row>
    <row r="546" spans="1:11" x14ac:dyDescent="0.3">
      <c r="A546" s="3" t="s">
        <v>878</v>
      </c>
      <c r="B546" s="4">
        <v>45855</v>
      </c>
      <c r="C546" s="3" t="s">
        <v>296</v>
      </c>
      <c r="D546" s="3" t="s">
        <v>59</v>
      </c>
      <c r="E546" s="3" t="s">
        <v>45</v>
      </c>
      <c r="F546" s="3" t="s">
        <v>31</v>
      </c>
      <c r="G546" s="3">
        <v>10</v>
      </c>
      <c r="H546" s="3">
        <v>1832</v>
      </c>
      <c r="I546" s="3">
        <v>18320</v>
      </c>
      <c r="J546" s="3" t="s">
        <v>16</v>
      </c>
      <c r="K546" s="3" t="s">
        <v>17</v>
      </c>
    </row>
    <row r="547" spans="1:11" x14ac:dyDescent="0.3">
      <c r="A547" s="5" t="s">
        <v>879</v>
      </c>
      <c r="B547" s="6">
        <v>45748</v>
      </c>
      <c r="C547" s="5" t="s">
        <v>558</v>
      </c>
      <c r="D547" s="5" t="s">
        <v>59</v>
      </c>
      <c r="E547" s="5" t="s">
        <v>60</v>
      </c>
      <c r="F547" s="5" t="s">
        <v>25</v>
      </c>
      <c r="G547" s="5">
        <v>7</v>
      </c>
      <c r="H547" s="5">
        <v>1597</v>
      </c>
      <c r="I547" s="5">
        <v>11179</v>
      </c>
      <c r="J547" s="5" t="s">
        <v>16</v>
      </c>
      <c r="K547" s="5" t="s">
        <v>36</v>
      </c>
    </row>
    <row r="548" spans="1:11" x14ac:dyDescent="0.3">
      <c r="A548" s="3" t="s">
        <v>880</v>
      </c>
      <c r="B548" s="4">
        <v>45966</v>
      </c>
      <c r="C548" s="3" t="s">
        <v>83</v>
      </c>
      <c r="D548" s="3" t="s">
        <v>13</v>
      </c>
      <c r="E548" s="3" t="s">
        <v>20</v>
      </c>
      <c r="F548" s="3" t="s">
        <v>15</v>
      </c>
      <c r="G548" s="3">
        <v>2</v>
      </c>
      <c r="H548" s="3">
        <v>54804</v>
      </c>
      <c r="I548" s="3">
        <v>109608</v>
      </c>
      <c r="J548" s="3" t="s">
        <v>16</v>
      </c>
      <c r="K548" s="3" t="s">
        <v>42</v>
      </c>
    </row>
    <row r="549" spans="1:11" x14ac:dyDescent="0.3">
      <c r="A549" s="5" t="s">
        <v>881</v>
      </c>
      <c r="B549" s="6">
        <v>45929</v>
      </c>
      <c r="C549" s="5" t="s">
        <v>233</v>
      </c>
      <c r="D549" s="5" t="s">
        <v>59</v>
      </c>
      <c r="E549" s="5" t="s">
        <v>67</v>
      </c>
      <c r="F549" s="5" t="s">
        <v>68</v>
      </c>
      <c r="G549" s="5">
        <v>7</v>
      </c>
      <c r="H549" s="5">
        <v>487</v>
      </c>
      <c r="I549" s="5">
        <v>3409</v>
      </c>
      <c r="J549" s="5" t="s">
        <v>16</v>
      </c>
      <c r="K549" s="5" t="s">
        <v>21</v>
      </c>
    </row>
    <row r="550" spans="1:11" x14ac:dyDescent="0.3">
      <c r="A550" s="3" t="s">
        <v>882</v>
      </c>
      <c r="B550" s="4">
        <v>46014</v>
      </c>
      <c r="C550" s="3" t="s">
        <v>200</v>
      </c>
      <c r="D550" s="3" t="s">
        <v>55</v>
      </c>
      <c r="E550" s="3" t="s">
        <v>98</v>
      </c>
      <c r="F550" s="3" t="s">
        <v>68</v>
      </c>
      <c r="G550" s="3">
        <v>6</v>
      </c>
      <c r="H550" s="3">
        <v>1832</v>
      </c>
      <c r="I550" s="3">
        <v>10992</v>
      </c>
      <c r="J550" s="3" t="s">
        <v>16</v>
      </c>
      <c r="K550" s="3" t="s">
        <v>17</v>
      </c>
    </row>
    <row r="551" spans="1:11" x14ac:dyDescent="0.3">
      <c r="A551" s="5" t="s">
        <v>883</v>
      </c>
      <c r="B551" s="6">
        <v>45964</v>
      </c>
      <c r="C551" s="5" t="s">
        <v>266</v>
      </c>
      <c r="D551" s="5" t="s">
        <v>29</v>
      </c>
      <c r="E551" s="5" t="s">
        <v>45</v>
      </c>
      <c r="F551" s="5" t="s">
        <v>31</v>
      </c>
      <c r="G551" s="5">
        <v>4</v>
      </c>
      <c r="H551" s="5">
        <v>1947</v>
      </c>
      <c r="I551" s="5">
        <v>7788</v>
      </c>
      <c r="J551" s="5" t="s">
        <v>16</v>
      </c>
      <c r="K551" s="5" t="s">
        <v>99</v>
      </c>
    </row>
    <row r="552" spans="1:11" x14ac:dyDescent="0.3">
      <c r="A552" s="3" t="s">
        <v>884</v>
      </c>
      <c r="B552" s="4">
        <v>45850</v>
      </c>
      <c r="C552" s="3" t="s">
        <v>162</v>
      </c>
      <c r="D552" s="3" t="s">
        <v>59</v>
      </c>
      <c r="E552" s="3" t="s">
        <v>20</v>
      </c>
      <c r="F552" s="3" t="s">
        <v>15</v>
      </c>
      <c r="G552" s="3">
        <v>10</v>
      </c>
      <c r="H552" s="3">
        <v>55247</v>
      </c>
      <c r="I552" s="3">
        <v>552470</v>
      </c>
      <c r="J552" s="3" t="s">
        <v>16</v>
      </c>
      <c r="K552" s="3" t="s">
        <v>21</v>
      </c>
    </row>
    <row r="553" spans="1:11" x14ac:dyDescent="0.3">
      <c r="A553" s="5" t="s">
        <v>885</v>
      </c>
      <c r="B553" s="6">
        <v>45957</v>
      </c>
      <c r="C553" s="5" t="s">
        <v>377</v>
      </c>
      <c r="D553" s="5" t="s">
        <v>13</v>
      </c>
      <c r="E553" s="5" t="s">
        <v>45</v>
      </c>
      <c r="F553" s="5" t="s">
        <v>31</v>
      </c>
      <c r="G553" s="5">
        <v>6</v>
      </c>
      <c r="H553" s="5">
        <v>1658</v>
      </c>
      <c r="I553" s="5">
        <v>9948</v>
      </c>
      <c r="J553" s="5" t="s">
        <v>16</v>
      </c>
      <c r="K553" s="5" t="s">
        <v>56</v>
      </c>
    </row>
    <row r="554" spans="1:11" x14ac:dyDescent="0.3">
      <c r="A554" s="3" t="s">
        <v>886</v>
      </c>
      <c r="B554" s="4">
        <v>45861</v>
      </c>
      <c r="C554" s="3" t="s">
        <v>887</v>
      </c>
      <c r="D554" s="3" t="s">
        <v>55</v>
      </c>
      <c r="E554" s="3" t="s">
        <v>67</v>
      </c>
      <c r="F554" s="3" t="s">
        <v>68</v>
      </c>
      <c r="G554" s="3">
        <v>6</v>
      </c>
      <c r="H554" s="3">
        <v>511</v>
      </c>
      <c r="I554" s="3">
        <v>3066</v>
      </c>
      <c r="J554" s="3" t="s">
        <v>128</v>
      </c>
      <c r="K554" s="3" t="s">
        <v>99</v>
      </c>
    </row>
    <row r="555" spans="1:11" x14ac:dyDescent="0.3">
      <c r="A555" s="5" t="s">
        <v>888</v>
      </c>
      <c r="B555" s="6">
        <v>45787</v>
      </c>
      <c r="C555" s="5" t="s">
        <v>469</v>
      </c>
      <c r="D555" s="5" t="s">
        <v>13</v>
      </c>
      <c r="E555" s="5" t="s">
        <v>24</v>
      </c>
      <c r="F555" s="5" t="s">
        <v>25</v>
      </c>
      <c r="G555" s="5">
        <v>3</v>
      </c>
      <c r="H555" s="5">
        <v>1168</v>
      </c>
      <c r="I555" s="5">
        <v>3504</v>
      </c>
      <c r="J555" s="5" t="s">
        <v>16</v>
      </c>
      <c r="K555" s="5" t="s">
        <v>89</v>
      </c>
    </row>
    <row r="556" spans="1:11" x14ac:dyDescent="0.3">
      <c r="A556" s="3" t="s">
        <v>889</v>
      </c>
      <c r="B556" s="4">
        <v>45775</v>
      </c>
      <c r="C556" s="3" t="s">
        <v>521</v>
      </c>
      <c r="D556" s="3" t="s">
        <v>59</v>
      </c>
      <c r="E556" s="3" t="s">
        <v>67</v>
      </c>
      <c r="F556" s="3" t="s">
        <v>68</v>
      </c>
      <c r="G556" s="3">
        <v>3</v>
      </c>
      <c r="H556" s="3">
        <v>535</v>
      </c>
      <c r="I556" s="3">
        <v>1605</v>
      </c>
      <c r="J556" s="3" t="s">
        <v>16</v>
      </c>
      <c r="K556" s="3" t="s">
        <v>84</v>
      </c>
    </row>
    <row r="557" spans="1:11" x14ac:dyDescent="0.3">
      <c r="A557" s="5" t="s">
        <v>890</v>
      </c>
      <c r="B557" s="6">
        <v>45939</v>
      </c>
      <c r="C557" s="5" t="s">
        <v>417</v>
      </c>
      <c r="D557" s="5" t="s">
        <v>13</v>
      </c>
      <c r="E557" s="5" t="s">
        <v>108</v>
      </c>
      <c r="F557" s="5" t="s">
        <v>49</v>
      </c>
      <c r="G557" s="5">
        <v>4</v>
      </c>
      <c r="H557" s="5">
        <v>7011</v>
      </c>
      <c r="I557" s="5">
        <v>28044</v>
      </c>
      <c r="J557" s="5" t="s">
        <v>35</v>
      </c>
      <c r="K557" s="5" t="s">
        <v>26</v>
      </c>
    </row>
    <row r="558" spans="1:11" x14ac:dyDescent="0.3">
      <c r="A558" s="3" t="s">
        <v>891</v>
      </c>
      <c r="B558" s="4">
        <v>45704</v>
      </c>
      <c r="C558" s="3" t="s">
        <v>892</v>
      </c>
      <c r="D558" s="3" t="s">
        <v>13</v>
      </c>
      <c r="E558" s="3" t="s">
        <v>52</v>
      </c>
      <c r="F558" s="3" t="s">
        <v>15</v>
      </c>
      <c r="G558" s="3">
        <v>7</v>
      </c>
      <c r="H558" s="3">
        <v>27322</v>
      </c>
      <c r="I558" s="3">
        <v>191254</v>
      </c>
      <c r="J558" s="3" t="s">
        <v>16</v>
      </c>
      <c r="K558" s="3" t="s">
        <v>95</v>
      </c>
    </row>
    <row r="559" spans="1:11" x14ac:dyDescent="0.3">
      <c r="A559" s="5" t="s">
        <v>893</v>
      </c>
      <c r="B559" s="6">
        <v>45969</v>
      </c>
      <c r="C559" s="5" t="s">
        <v>490</v>
      </c>
      <c r="D559" s="5" t="s">
        <v>55</v>
      </c>
      <c r="E559" s="5" t="s">
        <v>73</v>
      </c>
      <c r="F559" s="5" t="s">
        <v>68</v>
      </c>
      <c r="G559" s="5">
        <v>2</v>
      </c>
      <c r="H559" s="5">
        <v>1143</v>
      </c>
      <c r="I559" s="5">
        <v>2286</v>
      </c>
      <c r="J559" s="5" t="s">
        <v>16</v>
      </c>
      <c r="K559" s="5" t="s">
        <v>26</v>
      </c>
    </row>
    <row r="560" spans="1:11" x14ac:dyDescent="0.3">
      <c r="A560" s="3" t="s">
        <v>894</v>
      </c>
      <c r="B560" s="4">
        <v>45687</v>
      </c>
      <c r="C560" s="3" t="s">
        <v>488</v>
      </c>
      <c r="D560" s="3" t="s">
        <v>29</v>
      </c>
      <c r="E560" s="3" t="s">
        <v>67</v>
      </c>
      <c r="F560" s="3" t="s">
        <v>68</v>
      </c>
      <c r="G560" s="3">
        <v>9</v>
      </c>
      <c r="H560" s="3">
        <v>478</v>
      </c>
      <c r="I560" s="3">
        <v>4302</v>
      </c>
      <c r="J560" s="3" t="s">
        <v>128</v>
      </c>
      <c r="K560" s="3" t="s">
        <v>64</v>
      </c>
    </row>
    <row r="561" spans="1:11" x14ac:dyDescent="0.3">
      <c r="A561" s="5" t="s">
        <v>895</v>
      </c>
      <c r="B561" s="6">
        <v>45964</v>
      </c>
      <c r="C561" s="5" t="s">
        <v>152</v>
      </c>
      <c r="D561" s="5" t="s">
        <v>29</v>
      </c>
      <c r="E561" s="5" t="s">
        <v>52</v>
      </c>
      <c r="F561" s="5" t="s">
        <v>15</v>
      </c>
      <c r="G561" s="5">
        <v>9</v>
      </c>
      <c r="H561" s="5">
        <v>23930</v>
      </c>
      <c r="I561" s="5">
        <v>215370</v>
      </c>
      <c r="J561" s="5" t="s">
        <v>16</v>
      </c>
      <c r="K561" s="5" t="s">
        <v>92</v>
      </c>
    </row>
    <row r="562" spans="1:11" x14ac:dyDescent="0.3">
      <c r="A562" s="3" t="s">
        <v>896</v>
      </c>
      <c r="B562" s="4">
        <v>45738</v>
      </c>
      <c r="C562" s="3" t="s">
        <v>732</v>
      </c>
      <c r="D562" s="3" t="s">
        <v>13</v>
      </c>
      <c r="E562" s="3" t="s">
        <v>80</v>
      </c>
      <c r="F562" s="3" t="s">
        <v>25</v>
      </c>
      <c r="G562" s="3">
        <v>1</v>
      </c>
      <c r="H562" s="3">
        <v>2429</v>
      </c>
      <c r="I562" s="3">
        <v>2429</v>
      </c>
      <c r="J562" s="3" t="s">
        <v>16</v>
      </c>
      <c r="K562" s="3" t="s">
        <v>56</v>
      </c>
    </row>
    <row r="563" spans="1:11" x14ac:dyDescent="0.3">
      <c r="A563" s="5" t="s">
        <v>897</v>
      </c>
      <c r="B563" s="6">
        <v>45665</v>
      </c>
      <c r="C563" s="5" t="s">
        <v>38</v>
      </c>
      <c r="D563" s="5" t="s">
        <v>55</v>
      </c>
      <c r="E563" s="5" t="s">
        <v>34</v>
      </c>
      <c r="F563" s="5" t="s">
        <v>31</v>
      </c>
      <c r="G563" s="5">
        <v>7</v>
      </c>
      <c r="H563" s="5">
        <v>3433</v>
      </c>
      <c r="I563" s="5">
        <v>24031</v>
      </c>
      <c r="J563" s="5" t="s">
        <v>16</v>
      </c>
      <c r="K563" s="5" t="s">
        <v>36</v>
      </c>
    </row>
    <row r="564" spans="1:11" x14ac:dyDescent="0.3">
      <c r="A564" s="3" t="s">
        <v>898</v>
      </c>
      <c r="B564" s="4">
        <v>45799</v>
      </c>
      <c r="C564" s="3" t="s">
        <v>438</v>
      </c>
      <c r="D564" s="3" t="s">
        <v>59</v>
      </c>
      <c r="E564" s="3" t="s">
        <v>34</v>
      </c>
      <c r="F564" s="3" t="s">
        <v>31</v>
      </c>
      <c r="G564" s="3">
        <v>9</v>
      </c>
      <c r="H564" s="3">
        <v>3790</v>
      </c>
      <c r="I564" s="3">
        <v>34110</v>
      </c>
      <c r="J564" s="3" t="s">
        <v>16</v>
      </c>
      <c r="K564" s="3" t="s">
        <v>89</v>
      </c>
    </row>
    <row r="565" spans="1:11" x14ac:dyDescent="0.3">
      <c r="A565" s="5" t="s">
        <v>899</v>
      </c>
      <c r="B565" s="6">
        <v>45917</v>
      </c>
      <c r="C565" s="5" t="s">
        <v>72</v>
      </c>
      <c r="D565" s="5" t="s">
        <v>55</v>
      </c>
      <c r="E565" s="5" t="s">
        <v>98</v>
      </c>
      <c r="F565" s="5" t="s">
        <v>68</v>
      </c>
      <c r="G565" s="5">
        <v>10</v>
      </c>
      <c r="H565" s="5">
        <v>1621</v>
      </c>
      <c r="I565" s="5">
        <v>16210</v>
      </c>
      <c r="J565" s="5" t="s">
        <v>16</v>
      </c>
      <c r="K565" s="5" t="s">
        <v>92</v>
      </c>
    </row>
    <row r="566" spans="1:11" x14ac:dyDescent="0.3">
      <c r="A566" s="3" t="s">
        <v>900</v>
      </c>
      <c r="B566" s="4">
        <v>45933</v>
      </c>
      <c r="C566" s="3" t="s">
        <v>200</v>
      </c>
      <c r="D566" s="3" t="s">
        <v>59</v>
      </c>
      <c r="E566" s="3" t="s">
        <v>45</v>
      </c>
      <c r="F566" s="3" t="s">
        <v>31</v>
      </c>
      <c r="G566" s="3">
        <v>2</v>
      </c>
      <c r="H566" s="3">
        <v>1909</v>
      </c>
      <c r="I566" s="3">
        <v>3818</v>
      </c>
      <c r="J566" s="3" t="s">
        <v>128</v>
      </c>
      <c r="K566" s="3" t="s">
        <v>56</v>
      </c>
    </row>
    <row r="567" spans="1:11" x14ac:dyDescent="0.3">
      <c r="A567" s="5" t="s">
        <v>901</v>
      </c>
      <c r="B567" s="6">
        <v>45892</v>
      </c>
      <c r="C567" s="5" t="s">
        <v>461</v>
      </c>
      <c r="D567" s="5" t="s">
        <v>13</v>
      </c>
      <c r="E567" s="5" t="s">
        <v>67</v>
      </c>
      <c r="F567" s="5" t="s">
        <v>68</v>
      </c>
      <c r="G567" s="5">
        <v>8</v>
      </c>
      <c r="H567" s="5">
        <v>526</v>
      </c>
      <c r="I567" s="5">
        <v>4208</v>
      </c>
      <c r="J567" s="5" t="s">
        <v>16</v>
      </c>
      <c r="K567" s="5" t="s">
        <v>95</v>
      </c>
    </row>
    <row r="568" spans="1:11" x14ac:dyDescent="0.3">
      <c r="A568" s="3" t="s">
        <v>902</v>
      </c>
      <c r="B568" s="4">
        <v>45770</v>
      </c>
      <c r="C568" s="3" t="s">
        <v>300</v>
      </c>
      <c r="D568" s="3" t="s">
        <v>55</v>
      </c>
      <c r="E568" s="3" t="s">
        <v>116</v>
      </c>
      <c r="F568" s="3" t="s">
        <v>15</v>
      </c>
      <c r="G568" s="3">
        <v>2</v>
      </c>
      <c r="H568" s="3">
        <v>7612</v>
      </c>
      <c r="I568" s="3">
        <v>15224</v>
      </c>
      <c r="J568" s="3" t="s">
        <v>16</v>
      </c>
      <c r="K568" s="3" t="s">
        <v>26</v>
      </c>
    </row>
    <row r="569" spans="1:11" x14ac:dyDescent="0.3">
      <c r="A569" s="5" t="s">
        <v>903</v>
      </c>
      <c r="B569" s="6">
        <v>45792</v>
      </c>
      <c r="C569" s="5" t="s">
        <v>101</v>
      </c>
      <c r="D569" s="5" t="s">
        <v>59</v>
      </c>
      <c r="E569" s="5" t="s">
        <v>45</v>
      </c>
      <c r="F569" s="5" t="s">
        <v>31</v>
      </c>
      <c r="G569" s="5">
        <v>6</v>
      </c>
      <c r="H569" s="5">
        <v>1805</v>
      </c>
      <c r="I569" s="5">
        <v>10830</v>
      </c>
      <c r="J569" s="5" t="s">
        <v>16</v>
      </c>
      <c r="K569" s="5" t="s">
        <v>56</v>
      </c>
    </row>
    <row r="570" spans="1:11" x14ac:dyDescent="0.3">
      <c r="A570" s="3" t="s">
        <v>904</v>
      </c>
      <c r="B570" s="4">
        <v>45839</v>
      </c>
      <c r="C570" s="3" t="s">
        <v>905</v>
      </c>
      <c r="D570" s="3" t="s">
        <v>59</v>
      </c>
      <c r="E570" s="3" t="s">
        <v>30</v>
      </c>
      <c r="F570" s="3" t="s">
        <v>31</v>
      </c>
      <c r="G570" s="3">
        <v>9</v>
      </c>
      <c r="H570" s="3">
        <v>869</v>
      </c>
      <c r="I570" s="3">
        <v>7821</v>
      </c>
      <c r="J570" s="3" t="s">
        <v>16</v>
      </c>
      <c r="K570" s="3" t="s">
        <v>36</v>
      </c>
    </row>
    <row r="571" spans="1:11" x14ac:dyDescent="0.3">
      <c r="A571" s="5" t="s">
        <v>906</v>
      </c>
      <c r="B571" s="6">
        <v>45781</v>
      </c>
      <c r="C571" s="5" t="s">
        <v>458</v>
      </c>
      <c r="D571" s="5" t="s">
        <v>13</v>
      </c>
      <c r="E571" s="5" t="s">
        <v>48</v>
      </c>
      <c r="F571" s="5" t="s">
        <v>49</v>
      </c>
      <c r="G571" s="5">
        <v>4</v>
      </c>
      <c r="H571" s="5">
        <v>8998</v>
      </c>
      <c r="I571" s="5">
        <v>35992</v>
      </c>
      <c r="J571" s="5" t="s">
        <v>16</v>
      </c>
      <c r="K571" s="5" t="s">
        <v>21</v>
      </c>
    </row>
    <row r="572" spans="1:11" x14ac:dyDescent="0.3">
      <c r="A572" s="3" t="s">
        <v>907</v>
      </c>
      <c r="B572" s="4">
        <v>45698</v>
      </c>
      <c r="C572" s="3" t="s">
        <v>300</v>
      </c>
      <c r="D572" s="3" t="s">
        <v>59</v>
      </c>
      <c r="E572" s="3" t="s">
        <v>48</v>
      </c>
      <c r="F572" s="3" t="s">
        <v>49</v>
      </c>
      <c r="G572" s="3">
        <v>6</v>
      </c>
      <c r="H572" s="3">
        <v>8380</v>
      </c>
      <c r="I572" s="3">
        <v>50280</v>
      </c>
      <c r="J572" s="3" t="s">
        <v>16</v>
      </c>
      <c r="K572" s="3" t="s">
        <v>64</v>
      </c>
    </row>
    <row r="573" spans="1:11" x14ac:dyDescent="0.3">
      <c r="A573" s="5" t="s">
        <v>908</v>
      </c>
      <c r="B573" s="6">
        <v>45952</v>
      </c>
      <c r="C573" s="5" t="s">
        <v>440</v>
      </c>
      <c r="D573" s="5" t="s">
        <v>29</v>
      </c>
      <c r="E573" s="5" t="s">
        <v>20</v>
      </c>
      <c r="F573" s="5" t="s">
        <v>15</v>
      </c>
      <c r="G573" s="5">
        <v>8</v>
      </c>
      <c r="H573" s="5">
        <v>53583</v>
      </c>
      <c r="I573" s="5">
        <v>428664</v>
      </c>
      <c r="J573" s="5" t="s">
        <v>16</v>
      </c>
      <c r="K573" s="5" t="s">
        <v>95</v>
      </c>
    </row>
    <row r="574" spans="1:11" x14ac:dyDescent="0.3">
      <c r="A574" s="3" t="s">
        <v>909</v>
      </c>
      <c r="B574" s="4">
        <v>45685</v>
      </c>
      <c r="C574" s="3" t="s">
        <v>910</v>
      </c>
      <c r="D574" s="3" t="s">
        <v>59</v>
      </c>
      <c r="E574" s="3" t="s">
        <v>24</v>
      </c>
      <c r="F574" s="3" t="s">
        <v>25</v>
      </c>
      <c r="G574" s="3">
        <v>7</v>
      </c>
      <c r="H574" s="3">
        <v>1133</v>
      </c>
      <c r="I574" s="3">
        <v>7931</v>
      </c>
      <c r="J574" s="3" t="s">
        <v>16</v>
      </c>
      <c r="K574" s="3" t="s">
        <v>84</v>
      </c>
    </row>
    <row r="575" spans="1:11" x14ac:dyDescent="0.3">
      <c r="A575" s="5" t="s">
        <v>911</v>
      </c>
      <c r="B575" s="6">
        <v>45747</v>
      </c>
      <c r="C575" s="5" t="s">
        <v>122</v>
      </c>
      <c r="D575" s="5" t="s">
        <v>29</v>
      </c>
      <c r="E575" s="5" t="s">
        <v>80</v>
      </c>
      <c r="F575" s="5" t="s">
        <v>25</v>
      </c>
      <c r="G575" s="5">
        <v>9</v>
      </c>
      <c r="H575" s="5">
        <v>2423</v>
      </c>
      <c r="I575" s="5">
        <v>21807</v>
      </c>
      <c r="J575" s="5" t="s">
        <v>35</v>
      </c>
      <c r="K575" s="5" t="s">
        <v>17</v>
      </c>
    </row>
    <row r="576" spans="1:11" x14ac:dyDescent="0.3">
      <c r="A576" s="3" t="s">
        <v>912</v>
      </c>
      <c r="B576" s="4">
        <v>45955</v>
      </c>
      <c r="C576" s="3" t="s">
        <v>637</v>
      </c>
      <c r="D576" s="3" t="s">
        <v>13</v>
      </c>
      <c r="E576" s="3" t="s">
        <v>98</v>
      </c>
      <c r="F576" s="3" t="s">
        <v>68</v>
      </c>
      <c r="G576" s="3">
        <v>1</v>
      </c>
      <c r="H576" s="3">
        <v>1624</v>
      </c>
      <c r="I576" s="3">
        <v>1624</v>
      </c>
      <c r="J576" s="3" t="s">
        <v>16</v>
      </c>
      <c r="K576" s="3" t="s">
        <v>61</v>
      </c>
    </row>
    <row r="577" spans="1:11" x14ac:dyDescent="0.3">
      <c r="A577" s="5" t="s">
        <v>913</v>
      </c>
      <c r="B577" s="6">
        <v>45971</v>
      </c>
      <c r="C577" s="5" t="s">
        <v>914</v>
      </c>
      <c r="D577" s="5" t="s">
        <v>29</v>
      </c>
      <c r="E577" s="5" t="s">
        <v>30</v>
      </c>
      <c r="F577" s="5" t="s">
        <v>31</v>
      </c>
      <c r="G577" s="5">
        <v>9</v>
      </c>
      <c r="H577" s="5">
        <v>762</v>
      </c>
      <c r="I577" s="5">
        <v>6858</v>
      </c>
      <c r="J577" s="5" t="s">
        <v>16</v>
      </c>
      <c r="K577" s="5" t="s">
        <v>61</v>
      </c>
    </row>
    <row r="578" spans="1:11" x14ac:dyDescent="0.3">
      <c r="A578" s="3" t="s">
        <v>915</v>
      </c>
      <c r="B578" s="4">
        <v>45863</v>
      </c>
      <c r="C578" s="3" t="s">
        <v>869</v>
      </c>
      <c r="D578" s="3" t="s">
        <v>59</v>
      </c>
      <c r="E578" s="3" t="s">
        <v>73</v>
      </c>
      <c r="F578" s="3" t="s">
        <v>68</v>
      </c>
      <c r="G578" s="3">
        <v>7</v>
      </c>
      <c r="H578" s="3">
        <v>1248</v>
      </c>
      <c r="I578" s="3">
        <v>8736</v>
      </c>
      <c r="J578" s="3" t="s">
        <v>16</v>
      </c>
      <c r="K578" s="3" t="s">
        <v>95</v>
      </c>
    </row>
    <row r="579" spans="1:11" x14ac:dyDescent="0.3">
      <c r="A579" s="5" t="s">
        <v>916</v>
      </c>
      <c r="B579" s="6">
        <v>45778</v>
      </c>
      <c r="C579" s="5" t="s">
        <v>334</v>
      </c>
      <c r="D579" s="5" t="s">
        <v>59</v>
      </c>
      <c r="E579" s="5" t="s">
        <v>48</v>
      </c>
      <c r="F579" s="5" t="s">
        <v>49</v>
      </c>
      <c r="G579" s="5">
        <v>4</v>
      </c>
      <c r="H579" s="5">
        <v>9565</v>
      </c>
      <c r="I579" s="5">
        <v>38260</v>
      </c>
      <c r="J579" s="5" t="s">
        <v>16</v>
      </c>
      <c r="K579" s="5" t="s">
        <v>99</v>
      </c>
    </row>
    <row r="580" spans="1:11" x14ac:dyDescent="0.3">
      <c r="A580" s="3" t="s">
        <v>917</v>
      </c>
      <c r="B580" s="4">
        <v>45873</v>
      </c>
      <c r="C580" s="3" t="s">
        <v>260</v>
      </c>
      <c r="D580" s="3" t="s">
        <v>55</v>
      </c>
      <c r="E580" s="3" t="s">
        <v>108</v>
      </c>
      <c r="F580" s="3" t="s">
        <v>49</v>
      </c>
      <c r="G580" s="3">
        <v>3</v>
      </c>
      <c r="H580" s="3">
        <v>6962</v>
      </c>
      <c r="I580" s="3">
        <v>20886</v>
      </c>
      <c r="J580" s="3" t="s">
        <v>16</v>
      </c>
      <c r="K580" s="3" t="s">
        <v>81</v>
      </c>
    </row>
    <row r="581" spans="1:11" x14ac:dyDescent="0.3">
      <c r="A581" s="5" t="s">
        <v>918</v>
      </c>
      <c r="B581" s="6">
        <v>45945</v>
      </c>
      <c r="C581" s="5" t="s">
        <v>344</v>
      </c>
      <c r="D581" s="5" t="s">
        <v>55</v>
      </c>
      <c r="E581" s="5" t="s">
        <v>60</v>
      </c>
      <c r="F581" s="5" t="s">
        <v>25</v>
      </c>
      <c r="G581" s="5">
        <v>6</v>
      </c>
      <c r="H581" s="5">
        <v>1585</v>
      </c>
      <c r="I581" s="5">
        <v>9510</v>
      </c>
      <c r="J581" s="5" t="s">
        <v>16</v>
      </c>
      <c r="K581" s="5" t="s">
        <v>39</v>
      </c>
    </row>
    <row r="582" spans="1:11" x14ac:dyDescent="0.3">
      <c r="A582" s="3" t="s">
        <v>919</v>
      </c>
      <c r="B582" s="4">
        <v>45980</v>
      </c>
      <c r="C582" s="3" t="s">
        <v>920</v>
      </c>
      <c r="D582" s="3" t="s">
        <v>29</v>
      </c>
      <c r="E582" s="3" t="s">
        <v>108</v>
      </c>
      <c r="F582" s="3" t="s">
        <v>49</v>
      </c>
      <c r="G582" s="3">
        <v>4</v>
      </c>
      <c r="H582" s="3">
        <v>7439</v>
      </c>
      <c r="I582" s="3">
        <v>29756</v>
      </c>
      <c r="J582" s="3" t="s">
        <v>16</v>
      </c>
      <c r="K582" s="3" t="s">
        <v>95</v>
      </c>
    </row>
    <row r="583" spans="1:11" x14ac:dyDescent="0.3">
      <c r="A583" s="5" t="s">
        <v>921</v>
      </c>
      <c r="B583" s="6">
        <v>45789</v>
      </c>
      <c r="C583" s="5" t="s">
        <v>479</v>
      </c>
      <c r="D583" s="5" t="s">
        <v>13</v>
      </c>
      <c r="E583" s="5" t="s">
        <v>45</v>
      </c>
      <c r="F583" s="5" t="s">
        <v>31</v>
      </c>
      <c r="G583" s="5">
        <v>6</v>
      </c>
      <c r="H583" s="5">
        <v>1821</v>
      </c>
      <c r="I583" s="5">
        <v>10926</v>
      </c>
      <c r="J583" s="5" t="s">
        <v>128</v>
      </c>
      <c r="K583" s="5" t="s">
        <v>39</v>
      </c>
    </row>
    <row r="584" spans="1:11" x14ac:dyDescent="0.3">
      <c r="A584" s="3" t="s">
        <v>922</v>
      </c>
      <c r="B584" s="4">
        <v>45990</v>
      </c>
      <c r="C584" s="3" t="s">
        <v>154</v>
      </c>
      <c r="D584" s="3" t="s">
        <v>29</v>
      </c>
      <c r="E584" s="3" t="s">
        <v>34</v>
      </c>
      <c r="F584" s="3" t="s">
        <v>31</v>
      </c>
      <c r="G584" s="3">
        <v>10</v>
      </c>
      <c r="H584" s="3">
        <v>3289</v>
      </c>
      <c r="I584" s="3">
        <v>32890</v>
      </c>
      <c r="J584" s="3" t="s">
        <v>16</v>
      </c>
      <c r="K584" s="3" t="s">
        <v>81</v>
      </c>
    </row>
    <row r="585" spans="1:11" x14ac:dyDescent="0.3">
      <c r="A585" s="5" t="s">
        <v>923</v>
      </c>
      <c r="B585" s="6">
        <v>45886</v>
      </c>
      <c r="C585" s="5" t="s">
        <v>414</v>
      </c>
      <c r="D585" s="5" t="s">
        <v>55</v>
      </c>
      <c r="E585" s="5" t="s">
        <v>45</v>
      </c>
      <c r="F585" s="5" t="s">
        <v>31</v>
      </c>
      <c r="G585" s="5">
        <v>6</v>
      </c>
      <c r="H585" s="5">
        <v>1862</v>
      </c>
      <c r="I585" s="5">
        <v>11172</v>
      </c>
      <c r="J585" s="5" t="s">
        <v>16</v>
      </c>
      <c r="K585" s="5" t="s">
        <v>99</v>
      </c>
    </row>
    <row r="586" spans="1:11" x14ac:dyDescent="0.3">
      <c r="A586" s="3" t="s">
        <v>924</v>
      </c>
      <c r="B586" s="4">
        <v>45830</v>
      </c>
      <c r="C586" s="3" t="s">
        <v>643</v>
      </c>
      <c r="D586" s="3" t="s">
        <v>13</v>
      </c>
      <c r="E586" s="3" t="s">
        <v>67</v>
      </c>
      <c r="F586" s="3" t="s">
        <v>68</v>
      </c>
      <c r="G586" s="3">
        <v>3</v>
      </c>
      <c r="H586" s="3">
        <v>536</v>
      </c>
      <c r="I586" s="3">
        <v>1608</v>
      </c>
      <c r="J586" s="3" t="s">
        <v>16</v>
      </c>
      <c r="K586" s="3" t="s">
        <v>64</v>
      </c>
    </row>
    <row r="587" spans="1:11" x14ac:dyDescent="0.3">
      <c r="A587" s="5" t="s">
        <v>925</v>
      </c>
      <c r="B587" s="6">
        <v>45820</v>
      </c>
      <c r="C587" s="5" t="s">
        <v>716</v>
      </c>
      <c r="D587" s="5" t="s">
        <v>13</v>
      </c>
      <c r="E587" s="5" t="s">
        <v>73</v>
      </c>
      <c r="F587" s="5" t="s">
        <v>68</v>
      </c>
      <c r="G587" s="5">
        <v>2</v>
      </c>
      <c r="H587" s="5">
        <v>1118</v>
      </c>
      <c r="I587" s="5">
        <v>2236</v>
      </c>
      <c r="J587" s="5" t="s">
        <v>16</v>
      </c>
      <c r="K587" s="5" t="s">
        <v>56</v>
      </c>
    </row>
    <row r="588" spans="1:11" x14ac:dyDescent="0.3">
      <c r="A588" s="3" t="s">
        <v>926</v>
      </c>
      <c r="B588" s="4">
        <v>45843</v>
      </c>
      <c r="C588" s="3" t="s">
        <v>247</v>
      </c>
      <c r="D588" s="3" t="s">
        <v>13</v>
      </c>
      <c r="E588" s="3" t="s">
        <v>60</v>
      </c>
      <c r="F588" s="3" t="s">
        <v>25</v>
      </c>
      <c r="G588" s="3">
        <v>7</v>
      </c>
      <c r="H588" s="3">
        <v>1431</v>
      </c>
      <c r="I588" s="3">
        <v>10017</v>
      </c>
      <c r="J588" s="3" t="s">
        <v>16</v>
      </c>
      <c r="K588" s="3" t="s">
        <v>92</v>
      </c>
    </row>
    <row r="589" spans="1:11" x14ac:dyDescent="0.3">
      <c r="A589" s="5" t="s">
        <v>927</v>
      </c>
      <c r="B589" s="6">
        <v>45778</v>
      </c>
      <c r="C589" s="5" t="s">
        <v>110</v>
      </c>
      <c r="D589" s="5" t="s">
        <v>55</v>
      </c>
      <c r="E589" s="5" t="s">
        <v>73</v>
      </c>
      <c r="F589" s="5" t="s">
        <v>68</v>
      </c>
      <c r="G589" s="5">
        <v>3</v>
      </c>
      <c r="H589" s="5">
        <v>1285</v>
      </c>
      <c r="I589" s="5">
        <v>3855</v>
      </c>
      <c r="J589" s="5" t="s">
        <v>16</v>
      </c>
      <c r="K589" s="5" t="s">
        <v>56</v>
      </c>
    </row>
    <row r="590" spans="1:11" x14ac:dyDescent="0.3">
      <c r="A590" s="3" t="s">
        <v>928</v>
      </c>
      <c r="B590" s="4">
        <v>45900</v>
      </c>
      <c r="C590" s="3" t="s">
        <v>625</v>
      </c>
      <c r="D590" s="3" t="s">
        <v>55</v>
      </c>
      <c r="E590" s="3" t="s">
        <v>52</v>
      </c>
      <c r="F590" s="3" t="s">
        <v>15</v>
      </c>
      <c r="G590" s="3">
        <v>3</v>
      </c>
      <c r="H590" s="3">
        <v>24485</v>
      </c>
      <c r="I590" s="3">
        <v>73455</v>
      </c>
      <c r="J590" s="3" t="s">
        <v>16</v>
      </c>
      <c r="K590" s="3" t="s">
        <v>39</v>
      </c>
    </row>
    <row r="591" spans="1:11" x14ac:dyDescent="0.3">
      <c r="A591" s="5" t="s">
        <v>929</v>
      </c>
      <c r="B591" s="6">
        <v>45701</v>
      </c>
      <c r="C591" s="5" t="s">
        <v>162</v>
      </c>
      <c r="D591" s="5" t="s">
        <v>59</v>
      </c>
      <c r="E591" s="5" t="s">
        <v>67</v>
      </c>
      <c r="F591" s="5" t="s">
        <v>68</v>
      </c>
      <c r="G591" s="5">
        <v>2</v>
      </c>
      <c r="H591" s="5">
        <v>460</v>
      </c>
      <c r="I591" s="5">
        <v>920</v>
      </c>
      <c r="J591" s="5" t="s">
        <v>16</v>
      </c>
      <c r="K591" s="5" t="s">
        <v>36</v>
      </c>
    </row>
    <row r="592" spans="1:11" x14ac:dyDescent="0.3">
      <c r="A592" s="3" t="s">
        <v>930</v>
      </c>
      <c r="B592" s="4">
        <v>45722</v>
      </c>
      <c r="C592" s="3" t="s">
        <v>296</v>
      </c>
      <c r="D592" s="3" t="s">
        <v>55</v>
      </c>
      <c r="E592" s="3" t="s">
        <v>30</v>
      </c>
      <c r="F592" s="3" t="s">
        <v>31</v>
      </c>
      <c r="G592" s="3">
        <v>4</v>
      </c>
      <c r="H592" s="3">
        <v>838</v>
      </c>
      <c r="I592" s="3">
        <v>3352</v>
      </c>
      <c r="J592" s="3" t="s">
        <v>16</v>
      </c>
      <c r="K592" s="3" t="s">
        <v>92</v>
      </c>
    </row>
    <row r="593" spans="1:11" x14ac:dyDescent="0.3">
      <c r="A593" s="5" t="s">
        <v>931</v>
      </c>
      <c r="B593" s="6">
        <v>45901</v>
      </c>
      <c r="C593" s="5" t="s">
        <v>932</v>
      </c>
      <c r="D593" s="5" t="s">
        <v>55</v>
      </c>
      <c r="E593" s="5" t="s">
        <v>20</v>
      </c>
      <c r="F593" s="5" t="s">
        <v>15</v>
      </c>
      <c r="G593" s="5">
        <v>6</v>
      </c>
      <c r="H593" s="5">
        <v>58964</v>
      </c>
      <c r="I593" s="5">
        <v>353784</v>
      </c>
      <c r="J593" s="5" t="s">
        <v>16</v>
      </c>
      <c r="K593" s="5" t="s">
        <v>42</v>
      </c>
    </row>
    <row r="594" spans="1:11" x14ac:dyDescent="0.3">
      <c r="A594" s="3" t="s">
        <v>933</v>
      </c>
      <c r="B594" s="4">
        <v>45934</v>
      </c>
      <c r="C594" s="3" t="s">
        <v>934</v>
      </c>
      <c r="D594" s="3" t="s">
        <v>29</v>
      </c>
      <c r="E594" s="3" t="s">
        <v>34</v>
      </c>
      <c r="F594" s="3" t="s">
        <v>31</v>
      </c>
      <c r="G594" s="3">
        <v>8</v>
      </c>
      <c r="H594" s="3">
        <v>3244</v>
      </c>
      <c r="I594" s="3">
        <v>25952</v>
      </c>
      <c r="J594" s="3" t="s">
        <v>128</v>
      </c>
      <c r="K594" s="3" t="s">
        <v>89</v>
      </c>
    </row>
    <row r="595" spans="1:11" x14ac:dyDescent="0.3">
      <c r="A595" s="5" t="s">
        <v>935</v>
      </c>
      <c r="B595" s="6">
        <v>45835</v>
      </c>
      <c r="C595" s="5" t="s">
        <v>298</v>
      </c>
      <c r="D595" s="5" t="s">
        <v>13</v>
      </c>
      <c r="E595" s="5" t="s">
        <v>24</v>
      </c>
      <c r="F595" s="5" t="s">
        <v>25</v>
      </c>
      <c r="G595" s="5">
        <v>9</v>
      </c>
      <c r="H595" s="5">
        <v>1233</v>
      </c>
      <c r="I595" s="5">
        <v>11097</v>
      </c>
      <c r="J595" s="5" t="s">
        <v>16</v>
      </c>
      <c r="K595" s="5" t="s">
        <v>92</v>
      </c>
    </row>
    <row r="596" spans="1:11" x14ac:dyDescent="0.3">
      <c r="A596" s="3" t="s">
        <v>936</v>
      </c>
      <c r="B596" s="4">
        <v>45813</v>
      </c>
      <c r="C596" s="3" t="s">
        <v>651</v>
      </c>
      <c r="D596" s="3" t="s">
        <v>59</v>
      </c>
      <c r="E596" s="3" t="s">
        <v>116</v>
      </c>
      <c r="F596" s="3" t="s">
        <v>15</v>
      </c>
      <c r="G596" s="3">
        <v>5</v>
      </c>
      <c r="H596" s="3">
        <v>7785</v>
      </c>
      <c r="I596" s="3">
        <v>38925</v>
      </c>
      <c r="J596" s="3" t="s">
        <v>16</v>
      </c>
      <c r="K596" s="3" t="s">
        <v>39</v>
      </c>
    </row>
    <row r="597" spans="1:11" x14ac:dyDescent="0.3">
      <c r="A597" s="5" t="s">
        <v>937</v>
      </c>
      <c r="B597" s="6">
        <v>45909</v>
      </c>
      <c r="C597" s="5" t="s">
        <v>696</v>
      </c>
      <c r="D597" s="5" t="s">
        <v>29</v>
      </c>
      <c r="E597" s="5" t="s">
        <v>113</v>
      </c>
      <c r="F597" s="5" t="s">
        <v>49</v>
      </c>
      <c r="G597" s="5">
        <v>5</v>
      </c>
      <c r="H597" s="5">
        <v>11926</v>
      </c>
      <c r="I597" s="5">
        <v>59630</v>
      </c>
      <c r="J597" s="5" t="s">
        <v>16</v>
      </c>
      <c r="K597" s="5" t="s">
        <v>56</v>
      </c>
    </row>
    <row r="598" spans="1:11" x14ac:dyDescent="0.3">
      <c r="A598" s="3" t="s">
        <v>938</v>
      </c>
      <c r="B598" s="4">
        <v>45849</v>
      </c>
      <c r="C598" s="3" t="s">
        <v>939</v>
      </c>
      <c r="D598" s="3" t="s">
        <v>59</v>
      </c>
      <c r="E598" s="3" t="s">
        <v>98</v>
      </c>
      <c r="F598" s="3" t="s">
        <v>68</v>
      </c>
      <c r="G598" s="3">
        <v>10</v>
      </c>
      <c r="H598" s="3">
        <v>1703</v>
      </c>
      <c r="I598" s="3">
        <v>17030</v>
      </c>
      <c r="J598" s="3" t="s">
        <v>16</v>
      </c>
      <c r="K598" s="3" t="s">
        <v>99</v>
      </c>
    </row>
    <row r="599" spans="1:11" x14ac:dyDescent="0.3">
      <c r="A599" s="5" t="s">
        <v>940</v>
      </c>
      <c r="B599" s="6">
        <v>45857</v>
      </c>
      <c r="C599" s="5" t="s">
        <v>516</v>
      </c>
      <c r="D599" s="5" t="s">
        <v>55</v>
      </c>
      <c r="E599" s="5" t="s">
        <v>98</v>
      </c>
      <c r="F599" s="5" t="s">
        <v>68</v>
      </c>
      <c r="G599" s="5">
        <v>4</v>
      </c>
      <c r="H599" s="5">
        <v>1678</v>
      </c>
      <c r="I599" s="5">
        <v>6712</v>
      </c>
      <c r="J599" s="5" t="s">
        <v>16</v>
      </c>
      <c r="K599" s="5" t="s">
        <v>21</v>
      </c>
    </row>
    <row r="600" spans="1:11" x14ac:dyDescent="0.3">
      <c r="A600" s="3" t="s">
        <v>941</v>
      </c>
      <c r="B600" s="4">
        <v>45971</v>
      </c>
      <c r="C600" s="3" t="s">
        <v>346</v>
      </c>
      <c r="D600" s="3" t="s">
        <v>59</v>
      </c>
      <c r="E600" s="3" t="s">
        <v>67</v>
      </c>
      <c r="F600" s="3" t="s">
        <v>68</v>
      </c>
      <c r="G600" s="3">
        <v>4</v>
      </c>
      <c r="H600" s="3">
        <v>501</v>
      </c>
      <c r="I600" s="3">
        <v>2004</v>
      </c>
      <c r="J600" s="3" t="s">
        <v>16</v>
      </c>
      <c r="K600" s="3" t="s">
        <v>56</v>
      </c>
    </row>
    <row r="601" spans="1:11" x14ac:dyDescent="0.3">
      <c r="A601" s="5" t="s">
        <v>942</v>
      </c>
      <c r="B601" s="6">
        <v>45727</v>
      </c>
      <c r="C601" s="5" t="s">
        <v>357</v>
      </c>
      <c r="D601" s="5" t="s">
        <v>13</v>
      </c>
      <c r="E601" s="5" t="s">
        <v>24</v>
      </c>
      <c r="F601" s="5" t="s">
        <v>25</v>
      </c>
      <c r="G601" s="5">
        <v>7</v>
      </c>
      <c r="H601" s="5">
        <v>1125</v>
      </c>
      <c r="I601" s="5">
        <v>7875</v>
      </c>
      <c r="J601" s="5" t="s">
        <v>16</v>
      </c>
      <c r="K601" s="5" t="s">
        <v>17</v>
      </c>
    </row>
    <row r="602" spans="1:11" x14ac:dyDescent="0.3">
      <c r="A602" s="3" t="s">
        <v>943</v>
      </c>
      <c r="B602" s="4">
        <v>45822</v>
      </c>
      <c r="C602" s="3" t="s">
        <v>775</v>
      </c>
      <c r="D602" s="3" t="s">
        <v>13</v>
      </c>
      <c r="E602" s="3" t="s">
        <v>24</v>
      </c>
      <c r="F602" s="3" t="s">
        <v>25</v>
      </c>
      <c r="G602" s="3">
        <v>5</v>
      </c>
      <c r="H602" s="3">
        <v>1248</v>
      </c>
      <c r="I602" s="3">
        <v>6240</v>
      </c>
      <c r="J602" s="3" t="s">
        <v>16</v>
      </c>
      <c r="K602" s="3" t="s">
        <v>81</v>
      </c>
    </row>
    <row r="603" spans="1:11" x14ac:dyDescent="0.3">
      <c r="A603" s="5" t="s">
        <v>944</v>
      </c>
      <c r="B603" s="6">
        <v>45722</v>
      </c>
      <c r="C603" s="5" t="s">
        <v>86</v>
      </c>
      <c r="D603" s="5" t="s">
        <v>59</v>
      </c>
      <c r="E603" s="5" t="s">
        <v>80</v>
      </c>
      <c r="F603" s="5" t="s">
        <v>25</v>
      </c>
      <c r="G603" s="5">
        <v>3</v>
      </c>
      <c r="H603" s="5">
        <v>2736</v>
      </c>
      <c r="I603" s="5">
        <v>8208</v>
      </c>
      <c r="J603" s="5" t="s">
        <v>16</v>
      </c>
      <c r="K603" s="5" t="s">
        <v>26</v>
      </c>
    </row>
    <row r="604" spans="1:11" x14ac:dyDescent="0.3">
      <c r="A604" s="3" t="s">
        <v>945</v>
      </c>
      <c r="B604" s="4">
        <v>45817</v>
      </c>
      <c r="C604" s="3" t="s">
        <v>260</v>
      </c>
      <c r="D604" s="3" t="s">
        <v>59</v>
      </c>
      <c r="E604" s="3" t="s">
        <v>52</v>
      </c>
      <c r="F604" s="3" t="s">
        <v>15</v>
      </c>
      <c r="G604" s="3">
        <v>1</v>
      </c>
      <c r="H604" s="3">
        <v>24967</v>
      </c>
      <c r="I604" s="3">
        <v>24967</v>
      </c>
      <c r="J604" s="3" t="s">
        <v>16</v>
      </c>
      <c r="K604" s="3" t="s">
        <v>61</v>
      </c>
    </row>
    <row r="605" spans="1:11" x14ac:dyDescent="0.3">
      <c r="A605" s="5" t="s">
        <v>946</v>
      </c>
      <c r="B605" s="6">
        <v>45686</v>
      </c>
      <c r="C605" s="5" t="s">
        <v>552</v>
      </c>
      <c r="D605" s="5" t="s">
        <v>29</v>
      </c>
      <c r="E605" s="5" t="s">
        <v>14</v>
      </c>
      <c r="F605" s="5" t="s">
        <v>15</v>
      </c>
      <c r="G605" s="5">
        <v>2</v>
      </c>
      <c r="H605" s="5">
        <v>3206</v>
      </c>
      <c r="I605" s="5">
        <v>6412</v>
      </c>
      <c r="J605" s="5" t="s">
        <v>128</v>
      </c>
      <c r="K605" s="5" t="s">
        <v>84</v>
      </c>
    </row>
    <row r="606" spans="1:11" x14ac:dyDescent="0.3">
      <c r="A606" s="3" t="s">
        <v>947</v>
      </c>
      <c r="B606" s="4">
        <v>45853</v>
      </c>
      <c r="C606" s="3" t="s">
        <v>948</v>
      </c>
      <c r="D606" s="3" t="s">
        <v>29</v>
      </c>
      <c r="E606" s="3" t="s">
        <v>24</v>
      </c>
      <c r="F606" s="3" t="s">
        <v>25</v>
      </c>
      <c r="G606" s="3">
        <v>3</v>
      </c>
      <c r="H606" s="3">
        <v>1126</v>
      </c>
      <c r="I606" s="3">
        <v>3378</v>
      </c>
      <c r="J606" s="3" t="s">
        <v>35</v>
      </c>
      <c r="K606" s="3" t="s">
        <v>17</v>
      </c>
    </row>
    <row r="607" spans="1:11" x14ac:dyDescent="0.3">
      <c r="A607" s="5" t="s">
        <v>949</v>
      </c>
      <c r="B607" s="6">
        <v>45759</v>
      </c>
      <c r="C607" s="5" t="s">
        <v>355</v>
      </c>
      <c r="D607" s="5" t="s">
        <v>55</v>
      </c>
      <c r="E607" s="5" t="s">
        <v>113</v>
      </c>
      <c r="F607" s="5" t="s">
        <v>49</v>
      </c>
      <c r="G607" s="5">
        <v>8</v>
      </c>
      <c r="H607" s="5">
        <v>11393</v>
      </c>
      <c r="I607" s="5">
        <v>91144</v>
      </c>
      <c r="J607" s="5" t="s">
        <v>128</v>
      </c>
      <c r="K607" s="5" t="s">
        <v>26</v>
      </c>
    </row>
    <row r="608" spans="1:11" x14ac:dyDescent="0.3">
      <c r="A608" s="3" t="s">
        <v>950</v>
      </c>
      <c r="B608" s="4">
        <v>45817</v>
      </c>
      <c r="C608" s="3" t="s">
        <v>210</v>
      </c>
      <c r="D608" s="3" t="s">
        <v>55</v>
      </c>
      <c r="E608" s="3" t="s">
        <v>60</v>
      </c>
      <c r="F608" s="3" t="s">
        <v>25</v>
      </c>
      <c r="G608" s="3">
        <v>4</v>
      </c>
      <c r="H608" s="3">
        <v>1491</v>
      </c>
      <c r="I608" s="3">
        <v>5964</v>
      </c>
      <c r="J608" s="3" t="s">
        <v>16</v>
      </c>
      <c r="K608" s="3" t="s">
        <v>81</v>
      </c>
    </row>
    <row r="609" spans="1:11" x14ac:dyDescent="0.3">
      <c r="A609" s="5" t="s">
        <v>951</v>
      </c>
      <c r="B609" s="6">
        <v>45842</v>
      </c>
      <c r="C609" s="5" t="s">
        <v>952</v>
      </c>
      <c r="D609" s="5" t="s">
        <v>13</v>
      </c>
      <c r="E609" s="5" t="s">
        <v>20</v>
      </c>
      <c r="F609" s="5" t="s">
        <v>15</v>
      </c>
      <c r="G609" s="5">
        <v>5</v>
      </c>
      <c r="H609" s="5">
        <v>54793</v>
      </c>
      <c r="I609" s="5">
        <v>273965</v>
      </c>
      <c r="J609" s="5" t="s">
        <v>16</v>
      </c>
      <c r="K609" s="5" t="s">
        <v>42</v>
      </c>
    </row>
    <row r="610" spans="1:11" x14ac:dyDescent="0.3">
      <c r="A610" s="3" t="s">
        <v>953</v>
      </c>
      <c r="B610" s="4">
        <v>45799</v>
      </c>
      <c r="C610" s="3" t="s">
        <v>853</v>
      </c>
      <c r="D610" s="3" t="s">
        <v>13</v>
      </c>
      <c r="E610" s="3" t="s">
        <v>52</v>
      </c>
      <c r="F610" s="3" t="s">
        <v>15</v>
      </c>
      <c r="G610" s="3">
        <v>7</v>
      </c>
      <c r="H610" s="3">
        <v>24122</v>
      </c>
      <c r="I610" s="3">
        <v>168854</v>
      </c>
      <c r="J610" s="3" t="s">
        <v>16</v>
      </c>
      <c r="K610" s="3" t="s">
        <v>17</v>
      </c>
    </row>
    <row r="611" spans="1:11" x14ac:dyDescent="0.3">
      <c r="A611" s="5" t="s">
        <v>954</v>
      </c>
      <c r="B611" s="6">
        <v>46010</v>
      </c>
      <c r="C611" s="5" t="s">
        <v>955</v>
      </c>
      <c r="D611" s="5" t="s">
        <v>29</v>
      </c>
      <c r="E611" s="5" t="s">
        <v>108</v>
      </c>
      <c r="F611" s="5" t="s">
        <v>49</v>
      </c>
      <c r="G611" s="5">
        <v>1</v>
      </c>
      <c r="H611" s="5">
        <v>7113</v>
      </c>
      <c r="I611" s="5">
        <v>7113</v>
      </c>
      <c r="J611" s="5" t="s">
        <v>16</v>
      </c>
      <c r="K611" s="5" t="s">
        <v>81</v>
      </c>
    </row>
    <row r="612" spans="1:11" x14ac:dyDescent="0.3">
      <c r="A612" s="3" t="s">
        <v>956</v>
      </c>
      <c r="B612" s="4">
        <v>45831</v>
      </c>
      <c r="C612" s="3" t="s">
        <v>239</v>
      </c>
      <c r="D612" s="3" t="s">
        <v>29</v>
      </c>
      <c r="E612" s="3" t="s">
        <v>52</v>
      </c>
      <c r="F612" s="3" t="s">
        <v>15</v>
      </c>
      <c r="G612" s="3">
        <v>3</v>
      </c>
      <c r="H612" s="3">
        <v>24999</v>
      </c>
      <c r="I612" s="3">
        <v>74997</v>
      </c>
      <c r="J612" s="3" t="s">
        <v>16</v>
      </c>
      <c r="K612" s="3" t="s">
        <v>39</v>
      </c>
    </row>
    <row r="613" spans="1:11" x14ac:dyDescent="0.3">
      <c r="A613" s="5" t="s">
        <v>957</v>
      </c>
      <c r="B613" s="6">
        <v>45777</v>
      </c>
      <c r="C613" s="5" t="s">
        <v>958</v>
      </c>
      <c r="D613" s="5" t="s">
        <v>59</v>
      </c>
      <c r="E613" s="5" t="s">
        <v>48</v>
      </c>
      <c r="F613" s="5" t="s">
        <v>49</v>
      </c>
      <c r="G613" s="5">
        <v>9</v>
      </c>
      <c r="H613" s="5">
        <v>9524</v>
      </c>
      <c r="I613" s="5">
        <v>85716</v>
      </c>
      <c r="J613" s="5" t="s">
        <v>16</v>
      </c>
      <c r="K613" s="5" t="s">
        <v>92</v>
      </c>
    </row>
    <row r="614" spans="1:11" x14ac:dyDescent="0.3">
      <c r="A614" s="3" t="s">
        <v>959</v>
      </c>
      <c r="B614" s="4">
        <v>45726</v>
      </c>
      <c r="C614" s="3" t="s">
        <v>287</v>
      </c>
      <c r="D614" s="3" t="s">
        <v>55</v>
      </c>
      <c r="E614" s="3" t="s">
        <v>45</v>
      </c>
      <c r="F614" s="3" t="s">
        <v>31</v>
      </c>
      <c r="G614" s="3">
        <v>4</v>
      </c>
      <c r="H614" s="3">
        <v>1627</v>
      </c>
      <c r="I614" s="3">
        <v>6508</v>
      </c>
      <c r="J614" s="3" t="s">
        <v>16</v>
      </c>
      <c r="K614" s="3" t="s">
        <v>36</v>
      </c>
    </row>
    <row r="615" spans="1:11" x14ac:dyDescent="0.3">
      <c r="A615" s="5" t="s">
        <v>960</v>
      </c>
      <c r="B615" s="6">
        <v>45948</v>
      </c>
      <c r="C615" s="5" t="s">
        <v>961</v>
      </c>
      <c r="D615" s="5" t="s">
        <v>59</v>
      </c>
      <c r="E615" s="5" t="s">
        <v>67</v>
      </c>
      <c r="F615" s="5" t="s">
        <v>68</v>
      </c>
      <c r="G615" s="5">
        <v>5</v>
      </c>
      <c r="H615" s="5">
        <v>504</v>
      </c>
      <c r="I615" s="5">
        <v>2520</v>
      </c>
      <c r="J615" s="5" t="s">
        <v>16</v>
      </c>
      <c r="K615" s="5" t="s">
        <v>92</v>
      </c>
    </row>
    <row r="616" spans="1:11" x14ac:dyDescent="0.3">
      <c r="A616" s="3" t="s">
        <v>962</v>
      </c>
      <c r="B616" s="4">
        <v>45693</v>
      </c>
      <c r="C616" s="3" t="s">
        <v>75</v>
      </c>
      <c r="D616" s="3" t="s">
        <v>59</v>
      </c>
      <c r="E616" s="3" t="s">
        <v>98</v>
      </c>
      <c r="F616" s="3" t="s">
        <v>68</v>
      </c>
      <c r="G616" s="3">
        <v>10</v>
      </c>
      <c r="H616" s="3">
        <v>1949</v>
      </c>
      <c r="I616" s="3">
        <v>19490</v>
      </c>
      <c r="J616" s="3" t="s">
        <v>16</v>
      </c>
      <c r="K616" s="3" t="s">
        <v>81</v>
      </c>
    </row>
    <row r="617" spans="1:11" x14ac:dyDescent="0.3">
      <c r="A617" s="5" t="s">
        <v>963</v>
      </c>
      <c r="B617" s="6">
        <v>45917</v>
      </c>
      <c r="C617" s="5" t="s">
        <v>28</v>
      </c>
      <c r="D617" s="5" t="s">
        <v>29</v>
      </c>
      <c r="E617" s="5" t="s">
        <v>34</v>
      </c>
      <c r="F617" s="5" t="s">
        <v>31</v>
      </c>
      <c r="G617" s="5">
        <v>6</v>
      </c>
      <c r="H617" s="5">
        <v>3467</v>
      </c>
      <c r="I617" s="5">
        <v>20802</v>
      </c>
      <c r="J617" s="5" t="s">
        <v>35</v>
      </c>
      <c r="K617" s="5" t="s">
        <v>26</v>
      </c>
    </row>
    <row r="618" spans="1:11" x14ac:dyDescent="0.3">
      <c r="A618" s="3" t="s">
        <v>964</v>
      </c>
      <c r="B618" s="4">
        <v>45995</v>
      </c>
      <c r="C618" s="3" t="s">
        <v>154</v>
      </c>
      <c r="D618" s="3" t="s">
        <v>59</v>
      </c>
      <c r="E618" s="3" t="s">
        <v>14</v>
      </c>
      <c r="F618" s="3" t="s">
        <v>15</v>
      </c>
      <c r="G618" s="3">
        <v>10</v>
      </c>
      <c r="H618" s="3">
        <v>2843</v>
      </c>
      <c r="I618" s="3">
        <v>28430</v>
      </c>
      <c r="J618" s="3" t="s">
        <v>16</v>
      </c>
      <c r="K618" s="3" t="s">
        <v>42</v>
      </c>
    </row>
    <row r="619" spans="1:11" x14ac:dyDescent="0.3">
      <c r="A619" s="5" t="s">
        <v>965</v>
      </c>
      <c r="B619" s="6">
        <v>45802</v>
      </c>
      <c r="C619" s="5" t="s">
        <v>210</v>
      </c>
      <c r="D619" s="5" t="s">
        <v>29</v>
      </c>
      <c r="E619" s="5" t="s">
        <v>60</v>
      </c>
      <c r="F619" s="5" t="s">
        <v>25</v>
      </c>
      <c r="G619" s="5">
        <v>8</v>
      </c>
      <c r="H619" s="5">
        <v>1579</v>
      </c>
      <c r="I619" s="5">
        <v>12632</v>
      </c>
      <c r="J619" s="5" t="s">
        <v>16</v>
      </c>
      <c r="K619" s="5" t="s">
        <v>99</v>
      </c>
    </row>
    <row r="620" spans="1:11" x14ac:dyDescent="0.3">
      <c r="A620" s="3" t="s">
        <v>966</v>
      </c>
      <c r="B620" s="4">
        <v>45724</v>
      </c>
      <c r="C620" s="3" t="s">
        <v>967</v>
      </c>
      <c r="D620" s="3" t="s">
        <v>13</v>
      </c>
      <c r="E620" s="3" t="s">
        <v>20</v>
      </c>
      <c r="F620" s="3" t="s">
        <v>15</v>
      </c>
      <c r="G620" s="3">
        <v>9</v>
      </c>
      <c r="H620" s="3">
        <v>56747</v>
      </c>
      <c r="I620" s="3">
        <v>510723</v>
      </c>
      <c r="J620" s="3" t="s">
        <v>16</v>
      </c>
      <c r="K620" s="3" t="s">
        <v>42</v>
      </c>
    </row>
    <row r="621" spans="1:11" x14ac:dyDescent="0.3">
      <c r="A621" s="5" t="s">
        <v>968</v>
      </c>
      <c r="B621" s="6">
        <v>45856</v>
      </c>
      <c r="C621" s="5" t="s">
        <v>340</v>
      </c>
      <c r="D621" s="5" t="s">
        <v>59</v>
      </c>
      <c r="E621" s="5" t="s">
        <v>116</v>
      </c>
      <c r="F621" s="5" t="s">
        <v>15</v>
      </c>
      <c r="G621" s="5">
        <v>4</v>
      </c>
      <c r="H621" s="5">
        <v>7358</v>
      </c>
      <c r="I621" s="5">
        <v>29432</v>
      </c>
      <c r="J621" s="5" t="s">
        <v>16</v>
      </c>
      <c r="K621" s="5" t="s">
        <v>95</v>
      </c>
    </row>
    <row r="622" spans="1:11" x14ac:dyDescent="0.3">
      <c r="A622" s="3" t="s">
        <v>969</v>
      </c>
      <c r="B622" s="4">
        <v>45694</v>
      </c>
      <c r="C622" s="3" t="s">
        <v>948</v>
      </c>
      <c r="D622" s="3" t="s">
        <v>29</v>
      </c>
      <c r="E622" s="3" t="s">
        <v>24</v>
      </c>
      <c r="F622" s="3" t="s">
        <v>25</v>
      </c>
      <c r="G622" s="3">
        <v>1</v>
      </c>
      <c r="H622" s="3">
        <v>1167</v>
      </c>
      <c r="I622" s="3">
        <v>1167</v>
      </c>
      <c r="J622" s="3" t="s">
        <v>16</v>
      </c>
      <c r="K622" s="3" t="s">
        <v>36</v>
      </c>
    </row>
    <row r="623" spans="1:11" x14ac:dyDescent="0.3">
      <c r="A623" s="5" t="s">
        <v>970</v>
      </c>
      <c r="B623" s="6">
        <v>45943</v>
      </c>
      <c r="C623" s="5" t="s">
        <v>871</v>
      </c>
      <c r="D623" s="5" t="s">
        <v>55</v>
      </c>
      <c r="E623" s="5" t="s">
        <v>73</v>
      </c>
      <c r="F623" s="5" t="s">
        <v>68</v>
      </c>
      <c r="G623" s="5">
        <v>8</v>
      </c>
      <c r="H623" s="5">
        <v>1272</v>
      </c>
      <c r="I623" s="5">
        <v>10176</v>
      </c>
      <c r="J623" s="5" t="s">
        <v>16</v>
      </c>
      <c r="K623" s="5" t="s">
        <v>42</v>
      </c>
    </row>
    <row r="624" spans="1:11" x14ac:dyDescent="0.3">
      <c r="A624" s="3" t="s">
        <v>971</v>
      </c>
      <c r="B624" s="4">
        <v>45813</v>
      </c>
      <c r="C624" s="3" t="s">
        <v>577</v>
      </c>
      <c r="D624" s="3" t="s">
        <v>29</v>
      </c>
      <c r="E624" s="3" t="s">
        <v>14</v>
      </c>
      <c r="F624" s="3" t="s">
        <v>15</v>
      </c>
      <c r="G624" s="3">
        <v>9</v>
      </c>
      <c r="H624" s="3">
        <v>2724</v>
      </c>
      <c r="I624" s="3">
        <v>24516</v>
      </c>
      <c r="J624" s="3" t="s">
        <v>16</v>
      </c>
      <c r="K624" s="3" t="s">
        <v>21</v>
      </c>
    </row>
    <row r="625" spans="1:11" x14ac:dyDescent="0.3">
      <c r="A625" s="5" t="s">
        <v>972</v>
      </c>
      <c r="B625" s="6">
        <v>45927</v>
      </c>
      <c r="C625" s="5" t="s">
        <v>340</v>
      </c>
      <c r="D625" s="5" t="s">
        <v>55</v>
      </c>
      <c r="E625" s="5" t="s">
        <v>20</v>
      </c>
      <c r="F625" s="5" t="s">
        <v>15</v>
      </c>
      <c r="G625" s="5">
        <v>4</v>
      </c>
      <c r="H625" s="5">
        <v>55348</v>
      </c>
      <c r="I625" s="5">
        <v>221392</v>
      </c>
      <c r="J625" s="5" t="s">
        <v>16</v>
      </c>
      <c r="K625" s="5" t="s">
        <v>21</v>
      </c>
    </row>
    <row r="626" spans="1:11" x14ac:dyDescent="0.3">
      <c r="A626" s="3" t="s">
        <v>973</v>
      </c>
      <c r="B626" s="4">
        <v>45984</v>
      </c>
      <c r="C626" s="3" t="s">
        <v>94</v>
      </c>
      <c r="D626" s="3" t="s">
        <v>13</v>
      </c>
      <c r="E626" s="3" t="s">
        <v>48</v>
      </c>
      <c r="F626" s="3" t="s">
        <v>49</v>
      </c>
      <c r="G626" s="3">
        <v>9</v>
      </c>
      <c r="H626" s="3">
        <v>8847</v>
      </c>
      <c r="I626" s="3">
        <v>79623</v>
      </c>
      <c r="J626" s="3" t="s">
        <v>16</v>
      </c>
      <c r="K626" s="3" t="s">
        <v>61</v>
      </c>
    </row>
    <row r="627" spans="1:11" x14ac:dyDescent="0.3">
      <c r="A627" s="5" t="s">
        <v>974</v>
      </c>
      <c r="B627" s="6">
        <v>45916</v>
      </c>
      <c r="C627" s="5" t="s">
        <v>773</v>
      </c>
      <c r="D627" s="5" t="s">
        <v>13</v>
      </c>
      <c r="E627" s="5" t="s">
        <v>73</v>
      </c>
      <c r="F627" s="5" t="s">
        <v>68</v>
      </c>
      <c r="G627" s="5">
        <v>3</v>
      </c>
      <c r="H627" s="5">
        <v>1270</v>
      </c>
      <c r="I627" s="5">
        <v>3810</v>
      </c>
      <c r="J627" s="5" t="s">
        <v>16</v>
      </c>
      <c r="K627" s="5" t="s">
        <v>64</v>
      </c>
    </row>
    <row r="628" spans="1:11" x14ac:dyDescent="0.3">
      <c r="A628" s="3" t="s">
        <v>975</v>
      </c>
      <c r="B628" s="4">
        <v>45824</v>
      </c>
      <c r="C628" s="3" t="s">
        <v>391</v>
      </c>
      <c r="D628" s="3" t="s">
        <v>59</v>
      </c>
      <c r="E628" s="3" t="s">
        <v>24</v>
      </c>
      <c r="F628" s="3" t="s">
        <v>25</v>
      </c>
      <c r="G628" s="3">
        <v>6</v>
      </c>
      <c r="H628" s="3">
        <v>1296</v>
      </c>
      <c r="I628" s="3">
        <v>7776</v>
      </c>
      <c r="J628" s="3" t="s">
        <v>16</v>
      </c>
      <c r="K628" s="3" t="s">
        <v>99</v>
      </c>
    </row>
    <row r="629" spans="1:11" x14ac:dyDescent="0.3">
      <c r="A629" s="5" t="s">
        <v>976</v>
      </c>
      <c r="B629" s="6">
        <v>45767</v>
      </c>
      <c r="C629" s="5" t="s">
        <v>380</v>
      </c>
      <c r="D629" s="5" t="s">
        <v>55</v>
      </c>
      <c r="E629" s="5" t="s">
        <v>67</v>
      </c>
      <c r="F629" s="5" t="s">
        <v>68</v>
      </c>
      <c r="G629" s="5">
        <v>6</v>
      </c>
      <c r="H629" s="5">
        <v>510</v>
      </c>
      <c r="I629" s="5">
        <v>3060</v>
      </c>
      <c r="J629" s="5" t="s">
        <v>16</v>
      </c>
      <c r="K629" s="5" t="s">
        <v>84</v>
      </c>
    </row>
    <row r="630" spans="1:11" x14ac:dyDescent="0.3">
      <c r="A630" s="3" t="s">
        <v>977</v>
      </c>
      <c r="B630" s="4">
        <v>45675</v>
      </c>
      <c r="C630" s="3" t="s">
        <v>126</v>
      </c>
      <c r="D630" s="3" t="s">
        <v>13</v>
      </c>
      <c r="E630" s="3" t="s">
        <v>45</v>
      </c>
      <c r="F630" s="3" t="s">
        <v>31</v>
      </c>
      <c r="G630" s="3">
        <v>8</v>
      </c>
      <c r="H630" s="3">
        <v>1781</v>
      </c>
      <c r="I630" s="3">
        <v>14248</v>
      </c>
      <c r="J630" s="3" t="s">
        <v>16</v>
      </c>
      <c r="K630" s="3" t="s">
        <v>89</v>
      </c>
    </row>
    <row r="631" spans="1:11" x14ac:dyDescent="0.3">
      <c r="A631" s="5" t="s">
        <v>978</v>
      </c>
      <c r="B631" s="6">
        <v>45819</v>
      </c>
      <c r="C631" s="5" t="s">
        <v>454</v>
      </c>
      <c r="D631" s="5" t="s">
        <v>59</v>
      </c>
      <c r="E631" s="5" t="s">
        <v>113</v>
      </c>
      <c r="F631" s="5" t="s">
        <v>49</v>
      </c>
      <c r="G631" s="5">
        <v>1</v>
      </c>
      <c r="H631" s="5">
        <v>11520</v>
      </c>
      <c r="I631" s="5">
        <v>11520</v>
      </c>
      <c r="J631" s="5" t="s">
        <v>16</v>
      </c>
      <c r="K631" s="5" t="s">
        <v>84</v>
      </c>
    </row>
    <row r="632" spans="1:11" x14ac:dyDescent="0.3">
      <c r="A632" s="3" t="s">
        <v>979</v>
      </c>
      <c r="B632" s="4">
        <v>45737</v>
      </c>
      <c r="C632" s="3" t="s">
        <v>795</v>
      </c>
      <c r="D632" s="3" t="s">
        <v>55</v>
      </c>
      <c r="E632" s="3" t="s">
        <v>34</v>
      </c>
      <c r="F632" s="3" t="s">
        <v>31</v>
      </c>
      <c r="G632" s="3">
        <v>9</v>
      </c>
      <c r="H632" s="3">
        <v>3539</v>
      </c>
      <c r="I632" s="3">
        <v>31851</v>
      </c>
      <c r="J632" s="3" t="s">
        <v>35</v>
      </c>
      <c r="K632" s="3" t="s">
        <v>39</v>
      </c>
    </row>
    <row r="633" spans="1:11" x14ac:dyDescent="0.3">
      <c r="A633" s="5" t="s">
        <v>980</v>
      </c>
      <c r="B633" s="6">
        <v>45777</v>
      </c>
      <c r="C633" s="5" t="s">
        <v>981</v>
      </c>
      <c r="D633" s="5" t="s">
        <v>29</v>
      </c>
      <c r="E633" s="5" t="s">
        <v>108</v>
      </c>
      <c r="F633" s="5" t="s">
        <v>49</v>
      </c>
      <c r="G633" s="5">
        <v>5</v>
      </c>
      <c r="H633" s="5">
        <v>6813</v>
      </c>
      <c r="I633" s="5">
        <v>34065</v>
      </c>
      <c r="J633" s="5" t="s">
        <v>16</v>
      </c>
      <c r="K633" s="5" t="s">
        <v>84</v>
      </c>
    </row>
    <row r="634" spans="1:11" x14ac:dyDescent="0.3">
      <c r="A634" s="3" t="s">
        <v>982</v>
      </c>
      <c r="B634" s="4">
        <v>45824</v>
      </c>
      <c r="C634" s="3" t="s">
        <v>597</v>
      </c>
      <c r="D634" s="3" t="s">
        <v>59</v>
      </c>
      <c r="E634" s="3" t="s">
        <v>24</v>
      </c>
      <c r="F634" s="3" t="s">
        <v>25</v>
      </c>
      <c r="G634" s="3">
        <v>10</v>
      </c>
      <c r="H634" s="3">
        <v>1300</v>
      </c>
      <c r="I634" s="3">
        <v>13000</v>
      </c>
      <c r="J634" s="3" t="s">
        <v>16</v>
      </c>
      <c r="K634" s="3" t="s">
        <v>81</v>
      </c>
    </row>
    <row r="635" spans="1:11" x14ac:dyDescent="0.3">
      <c r="A635" s="5" t="s">
        <v>983</v>
      </c>
      <c r="B635" s="6">
        <v>45953</v>
      </c>
      <c r="C635" s="5" t="s">
        <v>821</v>
      </c>
      <c r="D635" s="5" t="s">
        <v>29</v>
      </c>
      <c r="E635" s="5" t="s">
        <v>80</v>
      </c>
      <c r="F635" s="5" t="s">
        <v>25</v>
      </c>
      <c r="G635" s="5">
        <v>10</v>
      </c>
      <c r="H635" s="5">
        <v>2571</v>
      </c>
      <c r="I635" s="5">
        <v>25710</v>
      </c>
      <c r="J635" s="5" t="s">
        <v>16</v>
      </c>
      <c r="K635" s="5" t="s">
        <v>17</v>
      </c>
    </row>
    <row r="636" spans="1:11" x14ac:dyDescent="0.3">
      <c r="A636" s="3" t="s">
        <v>984</v>
      </c>
      <c r="B636" s="4">
        <v>45774</v>
      </c>
      <c r="C636" s="3" t="s">
        <v>716</v>
      </c>
      <c r="D636" s="3" t="s">
        <v>55</v>
      </c>
      <c r="E636" s="3" t="s">
        <v>45</v>
      </c>
      <c r="F636" s="3" t="s">
        <v>31</v>
      </c>
      <c r="G636" s="3">
        <v>7</v>
      </c>
      <c r="H636" s="3">
        <v>1769</v>
      </c>
      <c r="I636" s="3">
        <v>12383</v>
      </c>
      <c r="J636" s="3" t="s">
        <v>16</v>
      </c>
      <c r="K636" s="3" t="s">
        <v>42</v>
      </c>
    </row>
    <row r="637" spans="1:11" x14ac:dyDescent="0.3">
      <c r="A637" s="5" t="s">
        <v>985</v>
      </c>
      <c r="B637" s="6">
        <v>45934</v>
      </c>
      <c r="C637" s="5" t="s">
        <v>315</v>
      </c>
      <c r="D637" s="5" t="s">
        <v>13</v>
      </c>
      <c r="E637" s="5" t="s">
        <v>116</v>
      </c>
      <c r="F637" s="5" t="s">
        <v>15</v>
      </c>
      <c r="G637" s="5">
        <v>1</v>
      </c>
      <c r="H637" s="5">
        <v>7687</v>
      </c>
      <c r="I637" s="5">
        <v>7687</v>
      </c>
      <c r="J637" s="5" t="s">
        <v>16</v>
      </c>
      <c r="K637" s="5" t="s">
        <v>81</v>
      </c>
    </row>
    <row r="638" spans="1:11" x14ac:dyDescent="0.3">
      <c r="A638" s="3" t="s">
        <v>986</v>
      </c>
      <c r="B638" s="4">
        <v>45886</v>
      </c>
      <c r="C638" s="3" t="s">
        <v>174</v>
      </c>
      <c r="D638" s="3" t="s">
        <v>59</v>
      </c>
      <c r="E638" s="3" t="s">
        <v>108</v>
      </c>
      <c r="F638" s="3" t="s">
        <v>49</v>
      </c>
      <c r="G638" s="3">
        <v>1</v>
      </c>
      <c r="H638" s="3">
        <v>7243</v>
      </c>
      <c r="I638" s="3">
        <v>7243</v>
      </c>
      <c r="J638" s="3" t="s">
        <v>128</v>
      </c>
      <c r="K638" s="3" t="s">
        <v>89</v>
      </c>
    </row>
    <row r="639" spans="1:11" x14ac:dyDescent="0.3">
      <c r="A639" s="5" t="s">
        <v>987</v>
      </c>
      <c r="B639" s="6">
        <v>45830</v>
      </c>
      <c r="C639" s="5" t="s">
        <v>988</v>
      </c>
      <c r="D639" s="5" t="s">
        <v>29</v>
      </c>
      <c r="E639" s="5" t="s">
        <v>113</v>
      </c>
      <c r="F639" s="5" t="s">
        <v>49</v>
      </c>
      <c r="G639" s="5">
        <v>5</v>
      </c>
      <c r="H639" s="5">
        <v>12687</v>
      </c>
      <c r="I639" s="5">
        <v>63435</v>
      </c>
      <c r="J639" s="5" t="s">
        <v>16</v>
      </c>
      <c r="K639" s="5" t="s">
        <v>95</v>
      </c>
    </row>
    <row r="640" spans="1:11" x14ac:dyDescent="0.3">
      <c r="A640" s="3" t="s">
        <v>989</v>
      </c>
      <c r="B640" s="4">
        <v>46015</v>
      </c>
      <c r="C640" s="3" t="s">
        <v>430</v>
      </c>
      <c r="D640" s="3" t="s">
        <v>13</v>
      </c>
      <c r="E640" s="3" t="s">
        <v>116</v>
      </c>
      <c r="F640" s="3" t="s">
        <v>15</v>
      </c>
      <c r="G640" s="3">
        <v>5</v>
      </c>
      <c r="H640" s="3">
        <v>7336</v>
      </c>
      <c r="I640" s="3">
        <v>36680</v>
      </c>
      <c r="J640" s="3" t="s">
        <v>16</v>
      </c>
      <c r="K640" s="3" t="s">
        <v>84</v>
      </c>
    </row>
    <row r="641" spans="1:11" x14ac:dyDescent="0.3">
      <c r="A641" s="5" t="s">
        <v>990</v>
      </c>
      <c r="B641" s="6">
        <v>45945</v>
      </c>
      <c r="C641" s="5" t="s">
        <v>548</v>
      </c>
      <c r="D641" s="5" t="s">
        <v>59</v>
      </c>
      <c r="E641" s="5" t="s">
        <v>80</v>
      </c>
      <c r="F641" s="5" t="s">
        <v>25</v>
      </c>
      <c r="G641" s="5">
        <v>8</v>
      </c>
      <c r="H641" s="5">
        <v>2447</v>
      </c>
      <c r="I641" s="5">
        <v>19576</v>
      </c>
      <c r="J641" s="5" t="s">
        <v>16</v>
      </c>
      <c r="K641" s="5" t="s">
        <v>26</v>
      </c>
    </row>
    <row r="642" spans="1:11" x14ac:dyDescent="0.3">
      <c r="A642" s="3" t="s">
        <v>991</v>
      </c>
      <c r="B642" s="4">
        <v>45952</v>
      </c>
      <c r="C642" s="3" t="s">
        <v>359</v>
      </c>
      <c r="D642" s="3" t="s">
        <v>29</v>
      </c>
      <c r="E642" s="3" t="s">
        <v>108</v>
      </c>
      <c r="F642" s="3" t="s">
        <v>49</v>
      </c>
      <c r="G642" s="3">
        <v>5</v>
      </c>
      <c r="H642" s="3">
        <v>7387</v>
      </c>
      <c r="I642" s="3">
        <v>36935</v>
      </c>
      <c r="J642" s="3" t="s">
        <v>16</v>
      </c>
      <c r="K642" s="3" t="s">
        <v>17</v>
      </c>
    </row>
    <row r="643" spans="1:11" x14ac:dyDescent="0.3">
      <c r="A643" s="5" t="s">
        <v>992</v>
      </c>
      <c r="B643" s="6">
        <v>45993</v>
      </c>
      <c r="C643" s="5" t="s">
        <v>147</v>
      </c>
      <c r="D643" s="5" t="s">
        <v>13</v>
      </c>
      <c r="E643" s="5" t="s">
        <v>98</v>
      </c>
      <c r="F643" s="5" t="s">
        <v>68</v>
      </c>
      <c r="G643" s="5">
        <v>6</v>
      </c>
      <c r="H643" s="5">
        <v>1688</v>
      </c>
      <c r="I643" s="5">
        <v>10128</v>
      </c>
      <c r="J643" s="5" t="s">
        <v>16</v>
      </c>
      <c r="K643" s="5" t="s">
        <v>84</v>
      </c>
    </row>
    <row r="644" spans="1:11" x14ac:dyDescent="0.3">
      <c r="A644" s="3" t="s">
        <v>993</v>
      </c>
      <c r="B644" s="4">
        <v>45777</v>
      </c>
      <c r="C644" s="3" t="s">
        <v>428</v>
      </c>
      <c r="D644" s="3" t="s">
        <v>59</v>
      </c>
      <c r="E644" s="3" t="s">
        <v>34</v>
      </c>
      <c r="F644" s="3" t="s">
        <v>31</v>
      </c>
      <c r="G644" s="3">
        <v>8</v>
      </c>
      <c r="H644" s="3">
        <v>3586</v>
      </c>
      <c r="I644" s="3">
        <v>28688</v>
      </c>
      <c r="J644" s="3" t="s">
        <v>16</v>
      </c>
      <c r="K644" s="3" t="s">
        <v>64</v>
      </c>
    </row>
    <row r="645" spans="1:11" x14ac:dyDescent="0.3">
      <c r="A645" s="5" t="s">
        <v>994</v>
      </c>
      <c r="B645" s="6">
        <v>45733</v>
      </c>
      <c r="C645" s="5" t="s">
        <v>285</v>
      </c>
      <c r="D645" s="5" t="s">
        <v>29</v>
      </c>
      <c r="E645" s="5" t="s">
        <v>20</v>
      </c>
      <c r="F645" s="5" t="s">
        <v>15</v>
      </c>
      <c r="G645" s="5">
        <v>1</v>
      </c>
      <c r="H645" s="5">
        <v>52173</v>
      </c>
      <c r="I645" s="5">
        <v>52173</v>
      </c>
      <c r="J645" s="5" t="s">
        <v>16</v>
      </c>
      <c r="K645" s="5" t="s">
        <v>39</v>
      </c>
    </row>
    <row r="646" spans="1:11" x14ac:dyDescent="0.3">
      <c r="A646" s="3" t="s">
        <v>995</v>
      </c>
      <c r="B646" s="4">
        <v>45933</v>
      </c>
      <c r="C646" s="3" t="s">
        <v>51</v>
      </c>
      <c r="D646" s="3" t="s">
        <v>59</v>
      </c>
      <c r="E646" s="3" t="s">
        <v>14</v>
      </c>
      <c r="F646" s="3" t="s">
        <v>15</v>
      </c>
      <c r="G646" s="3">
        <v>8</v>
      </c>
      <c r="H646" s="3">
        <v>2982</v>
      </c>
      <c r="I646" s="3">
        <v>23856</v>
      </c>
      <c r="J646" s="3" t="s">
        <v>16</v>
      </c>
      <c r="K646" s="3" t="s">
        <v>21</v>
      </c>
    </row>
    <row r="647" spans="1:11" x14ac:dyDescent="0.3">
      <c r="A647" s="5" t="s">
        <v>996</v>
      </c>
      <c r="B647" s="6">
        <v>46013</v>
      </c>
      <c r="C647" s="5" t="s">
        <v>143</v>
      </c>
      <c r="D647" s="5" t="s">
        <v>29</v>
      </c>
      <c r="E647" s="5" t="s">
        <v>34</v>
      </c>
      <c r="F647" s="5" t="s">
        <v>31</v>
      </c>
      <c r="G647" s="5">
        <v>8</v>
      </c>
      <c r="H647" s="5">
        <v>3586</v>
      </c>
      <c r="I647" s="5">
        <v>28688</v>
      </c>
      <c r="J647" s="5" t="s">
        <v>128</v>
      </c>
      <c r="K647" s="5" t="s">
        <v>39</v>
      </c>
    </row>
    <row r="648" spans="1:11" x14ac:dyDescent="0.3">
      <c r="A648" s="3" t="s">
        <v>997</v>
      </c>
      <c r="B648" s="4">
        <v>46014</v>
      </c>
      <c r="C648" s="3" t="s">
        <v>998</v>
      </c>
      <c r="D648" s="3" t="s">
        <v>29</v>
      </c>
      <c r="E648" s="3" t="s">
        <v>80</v>
      </c>
      <c r="F648" s="3" t="s">
        <v>25</v>
      </c>
      <c r="G648" s="3">
        <v>5</v>
      </c>
      <c r="H648" s="3">
        <v>2335</v>
      </c>
      <c r="I648" s="3">
        <v>11675</v>
      </c>
      <c r="J648" s="3" t="s">
        <v>16</v>
      </c>
      <c r="K648" s="3" t="s">
        <v>56</v>
      </c>
    </row>
    <row r="649" spans="1:11" x14ac:dyDescent="0.3">
      <c r="A649" s="5" t="s">
        <v>999</v>
      </c>
      <c r="B649" s="6">
        <v>45995</v>
      </c>
      <c r="C649" s="5" t="s">
        <v>500</v>
      </c>
      <c r="D649" s="5" t="s">
        <v>59</v>
      </c>
      <c r="E649" s="5" t="s">
        <v>20</v>
      </c>
      <c r="F649" s="5" t="s">
        <v>15</v>
      </c>
      <c r="G649" s="5">
        <v>7</v>
      </c>
      <c r="H649" s="5">
        <v>56764</v>
      </c>
      <c r="I649" s="5">
        <v>397348</v>
      </c>
      <c r="J649" s="5" t="s">
        <v>16</v>
      </c>
      <c r="K649" s="5" t="s">
        <v>42</v>
      </c>
    </row>
    <row r="650" spans="1:11" x14ac:dyDescent="0.3">
      <c r="A650" s="3" t="s">
        <v>1000</v>
      </c>
      <c r="B650" s="4">
        <v>46021</v>
      </c>
      <c r="C650" s="3" t="s">
        <v>277</v>
      </c>
      <c r="D650" s="3" t="s">
        <v>59</v>
      </c>
      <c r="E650" s="3" t="s">
        <v>34</v>
      </c>
      <c r="F650" s="3" t="s">
        <v>31</v>
      </c>
      <c r="G650" s="3">
        <v>7</v>
      </c>
      <c r="H650" s="3">
        <v>3311</v>
      </c>
      <c r="I650" s="3">
        <v>23177</v>
      </c>
      <c r="J650" s="3" t="s">
        <v>16</v>
      </c>
      <c r="K650" s="3" t="s">
        <v>36</v>
      </c>
    </row>
    <row r="651" spans="1:11" x14ac:dyDescent="0.3">
      <c r="A651" s="5" t="s">
        <v>1001</v>
      </c>
      <c r="B651" s="6">
        <v>45892</v>
      </c>
      <c r="C651" s="5" t="s">
        <v>19</v>
      </c>
      <c r="D651" s="5" t="s">
        <v>59</v>
      </c>
      <c r="E651" s="5" t="s">
        <v>60</v>
      </c>
      <c r="F651" s="5" t="s">
        <v>25</v>
      </c>
      <c r="G651" s="5">
        <v>2</v>
      </c>
      <c r="H651" s="5">
        <v>1405</v>
      </c>
      <c r="I651" s="5">
        <v>2810</v>
      </c>
      <c r="J651" s="5" t="s">
        <v>16</v>
      </c>
      <c r="K651" s="5" t="s">
        <v>36</v>
      </c>
    </row>
    <row r="652" spans="1:11" x14ac:dyDescent="0.3">
      <c r="A652" s="3" t="s">
        <v>1002</v>
      </c>
      <c r="B652" s="4">
        <v>45738</v>
      </c>
      <c r="C652" s="3" t="s">
        <v>775</v>
      </c>
      <c r="D652" s="3" t="s">
        <v>13</v>
      </c>
      <c r="E652" s="3" t="s">
        <v>52</v>
      </c>
      <c r="F652" s="3" t="s">
        <v>15</v>
      </c>
      <c r="G652" s="3">
        <v>9</v>
      </c>
      <c r="H652" s="3">
        <v>24024</v>
      </c>
      <c r="I652" s="3">
        <v>216216</v>
      </c>
      <c r="J652" s="3" t="s">
        <v>16</v>
      </c>
      <c r="K652" s="3" t="s">
        <v>61</v>
      </c>
    </row>
    <row r="653" spans="1:11" x14ac:dyDescent="0.3">
      <c r="A653" s="5" t="s">
        <v>1003</v>
      </c>
      <c r="B653" s="6">
        <v>45914</v>
      </c>
      <c r="C653" s="5" t="s">
        <v>263</v>
      </c>
      <c r="D653" s="5" t="s">
        <v>13</v>
      </c>
      <c r="E653" s="5" t="s">
        <v>34</v>
      </c>
      <c r="F653" s="5" t="s">
        <v>31</v>
      </c>
      <c r="G653" s="5">
        <v>5</v>
      </c>
      <c r="H653" s="5">
        <v>3315</v>
      </c>
      <c r="I653" s="5">
        <v>16575</v>
      </c>
      <c r="J653" s="5" t="s">
        <v>128</v>
      </c>
      <c r="K653" s="5" t="s">
        <v>84</v>
      </c>
    </row>
    <row r="654" spans="1:11" x14ac:dyDescent="0.3">
      <c r="A654" s="3" t="s">
        <v>1004</v>
      </c>
      <c r="B654" s="4">
        <v>45773</v>
      </c>
      <c r="C654" s="3" t="s">
        <v>367</v>
      </c>
      <c r="D654" s="3" t="s">
        <v>59</v>
      </c>
      <c r="E654" s="3" t="s">
        <v>45</v>
      </c>
      <c r="F654" s="3" t="s">
        <v>31</v>
      </c>
      <c r="G654" s="3">
        <v>1</v>
      </c>
      <c r="H654" s="3">
        <v>1959</v>
      </c>
      <c r="I654" s="3">
        <v>1959</v>
      </c>
      <c r="J654" s="3" t="s">
        <v>35</v>
      </c>
      <c r="K654" s="3" t="s">
        <v>61</v>
      </c>
    </row>
    <row r="655" spans="1:11" x14ac:dyDescent="0.3">
      <c r="A655" s="5" t="s">
        <v>1005</v>
      </c>
      <c r="B655" s="6">
        <v>45978</v>
      </c>
      <c r="C655" s="5" t="s">
        <v>1006</v>
      </c>
      <c r="D655" s="5" t="s">
        <v>55</v>
      </c>
      <c r="E655" s="5" t="s">
        <v>108</v>
      </c>
      <c r="F655" s="5" t="s">
        <v>49</v>
      </c>
      <c r="G655" s="5">
        <v>7</v>
      </c>
      <c r="H655" s="5">
        <v>7029</v>
      </c>
      <c r="I655" s="5">
        <v>49203</v>
      </c>
      <c r="J655" s="5" t="s">
        <v>16</v>
      </c>
      <c r="K655" s="5" t="s">
        <v>99</v>
      </c>
    </row>
    <row r="656" spans="1:11" x14ac:dyDescent="0.3">
      <c r="A656" s="3" t="s">
        <v>1007</v>
      </c>
      <c r="B656" s="4">
        <v>45935</v>
      </c>
      <c r="C656" s="3" t="s">
        <v>296</v>
      </c>
      <c r="D656" s="3" t="s">
        <v>59</v>
      </c>
      <c r="E656" s="3" t="s">
        <v>113</v>
      </c>
      <c r="F656" s="3" t="s">
        <v>49</v>
      </c>
      <c r="G656" s="3">
        <v>5</v>
      </c>
      <c r="H656" s="3">
        <v>12983</v>
      </c>
      <c r="I656" s="3">
        <v>64915</v>
      </c>
      <c r="J656" s="3" t="s">
        <v>16</v>
      </c>
      <c r="K656" s="3" t="s">
        <v>21</v>
      </c>
    </row>
    <row r="657" spans="1:11" x14ac:dyDescent="0.3">
      <c r="A657" s="5" t="s">
        <v>1008</v>
      </c>
      <c r="B657" s="6">
        <v>46019</v>
      </c>
      <c r="C657" s="5" t="s">
        <v>492</v>
      </c>
      <c r="D657" s="5" t="s">
        <v>13</v>
      </c>
      <c r="E657" s="5" t="s">
        <v>60</v>
      </c>
      <c r="F657" s="5" t="s">
        <v>25</v>
      </c>
      <c r="G657" s="5">
        <v>4</v>
      </c>
      <c r="H657" s="5">
        <v>1608</v>
      </c>
      <c r="I657" s="5">
        <v>6432</v>
      </c>
      <c r="J657" s="5" t="s">
        <v>16</v>
      </c>
      <c r="K657" s="5" t="s">
        <v>36</v>
      </c>
    </row>
    <row r="658" spans="1:11" x14ac:dyDescent="0.3">
      <c r="A658" s="3" t="s">
        <v>1009</v>
      </c>
      <c r="B658" s="4">
        <v>45943</v>
      </c>
      <c r="C658" s="3" t="s">
        <v>1010</v>
      </c>
      <c r="D658" s="3" t="s">
        <v>59</v>
      </c>
      <c r="E658" s="3" t="s">
        <v>48</v>
      </c>
      <c r="F658" s="3" t="s">
        <v>49</v>
      </c>
      <c r="G658" s="3">
        <v>10</v>
      </c>
      <c r="H658" s="3">
        <v>9750</v>
      </c>
      <c r="I658" s="3">
        <v>97500</v>
      </c>
      <c r="J658" s="3" t="s">
        <v>16</v>
      </c>
      <c r="K658" s="3" t="s">
        <v>26</v>
      </c>
    </row>
    <row r="659" spans="1:11" x14ac:dyDescent="0.3">
      <c r="A659" s="5" t="s">
        <v>1011</v>
      </c>
      <c r="B659" s="6">
        <v>45869</v>
      </c>
      <c r="C659" s="5" t="s">
        <v>432</v>
      </c>
      <c r="D659" s="5" t="s">
        <v>59</v>
      </c>
      <c r="E659" s="5" t="s">
        <v>30</v>
      </c>
      <c r="F659" s="5" t="s">
        <v>31</v>
      </c>
      <c r="G659" s="5">
        <v>1</v>
      </c>
      <c r="H659" s="5">
        <v>842</v>
      </c>
      <c r="I659" s="5">
        <v>842</v>
      </c>
      <c r="J659" s="5" t="s">
        <v>16</v>
      </c>
      <c r="K659" s="5" t="s">
        <v>56</v>
      </c>
    </row>
    <row r="660" spans="1:11" x14ac:dyDescent="0.3">
      <c r="A660" s="3" t="s">
        <v>1012</v>
      </c>
      <c r="B660" s="4">
        <v>45971</v>
      </c>
      <c r="C660" s="3" t="s">
        <v>548</v>
      </c>
      <c r="D660" s="3" t="s">
        <v>29</v>
      </c>
      <c r="E660" s="3" t="s">
        <v>30</v>
      </c>
      <c r="F660" s="3" t="s">
        <v>31</v>
      </c>
      <c r="G660" s="3">
        <v>4</v>
      </c>
      <c r="H660" s="3">
        <v>737</v>
      </c>
      <c r="I660" s="3">
        <v>2948</v>
      </c>
      <c r="J660" s="3" t="s">
        <v>16</v>
      </c>
      <c r="K660" s="3" t="s">
        <v>56</v>
      </c>
    </row>
    <row r="661" spans="1:11" x14ac:dyDescent="0.3">
      <c r="A661" s="5" t="s">
        <v>1013</v>
      </c>
      <c r="B661" s="6">
        <v>45841</v>
      </c>
      <c r="C661" s="5" t="s">
        <v>414</v>
      </c>
      <c r="D661" s="5" t="s">
        <v>13</v>
      </c>
      <c r="E661" s="5" t="s">
        <v>80</v>
      </c>
      <c r="F661" s="5" t="s">
        <v>25</v>
      </c>
      <c r="G661" s="5">
        <v>10</v>
      </c>
      <c r="H661" s="5">
        <v>2366</v>
      </c>
      <c r="I661" s="5">
        <v>23660</v>
      </c>
      <c r="J661" s="5" t="s">
        <v>16</v>
      </c>
      <c r="K661" s="5" t="s">
        <v>26</v>
      </c>
    </row>
    <row r="662" spans="1:11" x14ac:dyDescent="0.3">
      <c r="A662" s="3" t="s">
        <v>1014</v>
      </c>
      <c r="B662" s="4">
        <v>45752</v>
      </c>
      <c r="C662" s="3" t="s">
        <v>691</v>
      </c>
      <c r="D662" s="3" t="s">
        <v>55</v>
      </c>
      <c r="E662" s="3" t="s">
        <v>48</v>
      </c>
      <c r="F662" s="3" t="s">
        <v>49</v>
      </c>
      <c r="G662" s="3">
        <v>10</v>
      </c>
      <c r="H662" s="3">
        <v>8943</v>
      </c>
      <c r="I662" s="3">
        <v>89430</v>
      </c>
      <c r="J662" s="3" t="s">
        <v>16</v>
      </c>
      <c r="K662" s="3" t="s">
        <v>95</v>
      </c>
    </row>
    <row r="663" spans="1:11" x14ac:dyDescent="0.3">
      <c r="A663" s="5" t="s">
        <v>1015</v>
      </c>
      <c r="B663" s="6">
        <v>45665</v>
      </c>
      <c r="C663" s="5" t="s">
        <v>569</v>
      </c>
      <c r="D663" s="5" t="s">
        <v>29</v>
      </c>
      <c r="E663" s="5" t="s">
        <v>108</v>
      </c>
      <c r="F663" s="5" t="s">
        <v>49</v>
      </c>
      <c r="G663" s="5">
        <v>4</v>
      </c>
      <c r="H663" s="5">
        <v>6345</v>
      </c>
      <c r="I663" s="5">
        <v>25380</v>
      </c>
      <c r="J663" s="5" t="s">
        <v>35</v>
      </c>
      <c r="K663" s="5" t="s">
        <v>99</v>
      </c>
    </row>
    <row r="664" spans="1:11" x14ac:dyDescent="0.3">
      <c r="A664" s="3" t="s">
        <v>1016</v>
      </c>
      <c r="B664" s="4">
        <v>45882</v>
      </c>
      <c r="C664" s="3" t="s">
        <v>548</v>
      </c>
      <c r="D664" s="3" t="s">
        <v>59</v>
      </c>
      <c r="E664" s="3" t="s">
        <v>108</v>
      </c>
      <c r="F664" s="3" t="s">
        <v>49</v>
      </c>
      <c r="G664" s="3">
        <v>2</v>
      </c>
      <c r="H664" s="3">
        <v>6547</v>
      </c>
      <c r="I664" s="3">
        <v>13094</v>
      </c>
      <c r="J664" s="3" t="s">
        <v>128</v>
      </c>
      <c r="K664" s="3" t="s">
        <v>95</v>
      </c>
    </row>
    <row r="665" spans="1:11" x14ac:dyDescent="0.3">
      <c r="A665" s="5" t="s">
        <v>1017</v>
      </c>
      <c r="B665" s="6">
        <v>45852</v>
      </c>
      <c r="C665" s="5" t="s">
        <v>1018</v>
      </c>
      <c r="D665" s="5" t="s">
        <v>13</v>
      </c>
      <c r="E665" s="5" t="s">
        <v>73</v>
      </c>
      <c r="F665" s="5" t="s">
        <v>68</v>
      </c>
      <c r="G665" s="5">
        <v>7</v>
      </c>
      <c r="H665" s="5">
        <v>1177</v>
      </c>
      <c r="I665" s="5">
        <v>8239</v>
      </c>
      <c r="J665" s="5" t="s">
        <v>16</v>
      </c>
      <c r="K665" s="5" t="s">
        <v>99</v>
      </c>
    </row>
    <row r="666" spans="1:11" x14ac:dyDescent="0.3">
      <c r="A666" s="3" t="s">
        <v>1019</v>
      </c>
      <c r="B666" s="4">
        <v>45677</v>
      </c>
      <c r="C666" s="3" t="s">
        <v>1020</v>
      </c>
      <c r="D666" s="3" t="s">
        <v>13</v>
      </c>
      <c r="E666" s="3" t="s">
        <v>60</v>
      </c>
      <c r="F666" s="3" t="s">
        <v>25</v>
      </c>
      <c r="G666" s="3">
        <v>9</v>
      </c>
      <c r="H666" s="3">
        <v>1507</v>
      </c>
      <c r="I666" s="3">
        <v>13563</v>
      </c>
      <c r="J666" s="3" t="s">
        <v>128</v>
      </c>
      <c r="K666" s="3" t="s">
        <v>17</v>
      </c>
    </row>
    <row r="667" spans="1:11" x14ac:dyDescent="0.3">
      <c r="A667" s="5" t="s">
        <v>1021</v>
      </c>
      <c r="B667" s="6">
        <v>45678</v>
      </c>
      <c r="C667" s="5" t="s">
        <v>47</v>
      </c>
      <c r="D667" s="5" t="s">
        <v>29</v>
      </c>
      <c r="E667" s="5" t="s">
        <v>52</v>
      </c>
      <c r="F667" s="5" t="s">
        <v>15</v>
      </c>
      <c r="G667" s="5">
        <v>9</v>
      </c>
      <c r="H667" s="5">
        <v>25189</v>
      </c>
      <c r="I667" s="5">
        <v>226701</v>
      </c>
      <c r="J667" s="5" t="s">
        <v>128</v>
      </c>
      <c r="K667" s="5" t="s">
        <v>99</v>
      </c>
    </row>
    <row r="668" spans="1:11" x14ac:dyDescent="0.3">
      <c r="A668" s="3" t="s">
        <v>1022</v>
      </c>
      <c r="B668" s="4">
        <v>45804</v>
      </c>
      <c r="C668" s="3" t="s">
        <v>1023</v>
      </c>
      <c r="D668" s="3" t="s">
        <v>29</v>
      </c>
      <c r="E668" s="3" t="s">
        <v>52</v>
      </c>
      <c r="F668" s="3" t="s">
        <v>15</v>
      </c>
      <c r="G668" s="3">
        <v>5</v>
      </c>
      <c r="H668" s="3">
        <v>24697</v>
      </c>
      <c r="I668" s="3">
        <v>123485</v>
      </c>
      <c r="J668" s="3" t="s">
        <v>35</v>
      </c>
      <c r="K668" s="3" t="s">
        <v>81</v>
      </c>
    </row>
    <row r="669" spans="1:11" x14ac:dyDescent="0.3">
      <c r="A669" s="5" t="s">
        <v>1024</v>
      </c>
      <c r="B669" s="6">
        <v>45988</v>
      </c>
      <c r="C669" s="5" t="s">
        <v>425</v>
      </c>
      <c r="D669" s="5" t="s">
        <v>29</v>
      </c>
      <c r="E669" s="5" t="s">
        <v>80</v>
      </c>
      <c r="F669" s="5" t="s">
        <v>25</v>
      </c>
      <c r="G669" s="5">
        <v>9</v>
      </c>
      <c r="H669" s="5">
        <v>2701</v>
      </c>
      <c r="I669" s="5">
        <v>24309</v>
      </c>
      <c r="J669" s="5" t="s">
        <v>16</v>
      </c>
      <c r="K669" s="5" t="s">
        <v>17</v>
      </c>
    </row>
    <row r="670" spans="1:11" x14ac:dyDescent="0.3">
      <c r="A670" s="3" t="s">
        <v>1025</v>
      </c>
      <c r="B670" s="4">
        <v>45727</v>
      </c>
      <c r="C670" s="3" t="s">
        <v>465</v>
      </c>
      <c r="D670" s="3" t="s">
        <v>13</v>
      </c>
      <c r="E670" s="3" t="s">
        <v>52</v>
      </c>
      <c r="F670" s="3" t="s">
        <v>15</v>
      </c>
      <c r="G670" s="3">
        <v>10</v>
      </c>
      <c r="H670" s="3">
        <v>27189</v>
      </c>
      <c r="I670" s="3">
        <v>271890</v>
      </c>
      <c r="J670" s="3" t="s">
        <v>16</v>
      </c>
      <c r="K670" s="3" t="s">
        <v>99</v>
      </c>
    </row>
    <row r="671" spans="1:11" x14ac:dyDescent="0.3">
      <c r="A671" s="5" t="s">
        <v>1026</v>
      </c>
      <c r="B671" s="6">
        <v>45761</v>
      </c>
      <c r="C671" s="5" t="s">
        <v>330</v>
      </c>
      <c r="D671" s="5" t="s">
        <v>59</v>
      </c>
      <c r="E671" s="5" t="s">
        <v>52</v>
      </c>
      <c r="F671" s="5" t="s">
        <v>15</v>
      </c>
      <c r="G671" s="5">
        <v>8</v>
      </c>
      <c r="H671" s="5">
        <v>25451</v>
      </c>
      <c r="I671" s="5">
        <v>203608</v>
      </c>
      <c r="J671" s="5" t="s">
        <v>16</v>
      </c>
      <c r="K671" s="5" t="s">
        <v>17</v>
      </c>
    </row>
    <row r="672" spans="1:11" x14ac:dyDescent="0.3">
      <c r="A672" s="3" t="s">
        <v>1027</v>
      </c>
      <c r="B672" s="4">
        <v>45982</v>
      </c>
      <c r="C672" s="3" t="s">
        <v>255</v>
      </c>
      <c r="D672" s="3" t="s">
        <v>59</v>
      </c>
      <c r="E672" s="3" t="s">
        <v>48</v>
      </c>
      <c r="F672" s="3" t="s">
        <v>49</v>
      </c>
      <c r="G672" s="3">
        <v>2</v>
      </c>
      <c r="H672" s="3">
        <v>8264</v>
      </c>
      <c r="I672" s="3">
        <v>16528</v>
      </c>
      <c r="J672" s="3" t="s">
        <v>16</v>
      </c>
      <c r="K672" s="3" t="s">
        <v>17</v>
      </c>
    </row>
    <row r="673" spans="1:11" x14ac:dyDescent="0.3">
      <c r="A673" s="5" t="s">
        <v>1028</v>
      </c>
      <c r="B673" s="6">
        <v>45939</v>
      </c>
      <c r="C673" s="5" t="s">
        <v>28</v>
      </c>
      <c r="D673" s="5" t="s">
        <v>29</v>
      </c>
      <c r="E673" s="5" t="s">
        <v>67</v>
      </c>
      <c r="F673" s="5" t="s">
        <v>68</v>
      </c>
      <c r="G673" s="5">
        <v>9</v>
      </c>
      <c r="H673" s="5">
        <v>511</v>
      </c>
      <c r="I673" s="5">
        <v>4599</v>
      </c>
      <c r="J673" s="5" t="s">
        <v>16</v>
      </c>
      <c r="K673" s="5" t="s">
        <v>39</v>
      </c>
    </row>
    <row r="674" spans="1:11" x14ac:dyDescent="0.3">
      <c r="A674" s="3" t="s">
        <v>1029</v>
      </c>
      <c r="B674" s="4">
        <v>46022</v>
      </c>
      <c r="C674" s="3" t="s">
        <v>952</v>
      </c>
      <c r="D674" s="3" t="s">
        <v>55</v>
      </c>
      <c r="E674" s="3" t="s">
        <v>34</v>
      </c>
      <c r="F674" s="3" t="s">
        <v>31</v>
      </c>
      <c r="G674" s="3">
        <v>3</v>
      </c>
      <c r="H674" s="3">
        <v>3263</v>
      </c>
      <c r="I674" s="3">
        <v>9789</v>
      </c>
      <c r="J674" s="3" t="s">
        <v>16</v>
      </c>
      <c r="K674" s="3" t="s">
        <v>99</v>
      </c>
    </row>
    <row r="675" spans="1:11" x14ac:dyDescent="0.3">
      <c r="A675" s="5" t="s">
        <v>1030</v>
      </c>
      <c r="B675" s="6">
        <v>45761</v>
      </c>
      <c r="C675" s="5" t="s">
        <v>807</v>
      </c>
      <c r="D675" s="5" t="s">
        <v>59</v>
      </c>
      <c r="E675" s="5" t="s">
        <v>98</v>
      </c>
      <c r="F675" s="5" t="s">
        <v>68</v>
      </c>
      <c r="G675" s="5">
        <v>3</v>
      </c>
      <c r="H675" s="5">
        <v>1662</v>
      </c>
      <c r="I675" s="5">
        <v>4986</v>
      </c>
      <c r="J675" s="5" t="s">
        <v>16</v>
      </c>
      <c r="K675" s="5" t="s">
        <v>89</v>
      </c>
    </row>
    <row r="676" spans="1:11" x14ac:dyDescent="0.3">
      <c r="A676" s="3" t="s">
        <v>1031</v>
      </c>
      <c r="B676" s="4">
        <v>45660</v>
      </c>
      <c r="C676" s="3" t="s">
        <v>737</v>
      </c>
      <c r="D676" s="3" t="s">
        <v>55</v>
      </c>
      <c r="E676" s="3" t="s">
        <v>116</v>
      </c>
      <c r="F676" s="3" t="s">
        <v>15</v>
      </c>
      <c r="G676" s="3">
        <v>8</v>
      </c>
      <c r="H676" s="3">
        <v>8568</v>
      </c>
      <c r="I676" s="3">
        <v>68544</v>
      </c>
      <c r="J676" s="3" t="s">
        <v>16</v>
      </c>
      <c r="K676" s="3" t="s">
        <v>36</v>
      </c>
    </row>
    <row r="677" spans="1:11" x14ac:dyDescent="0.3">
      <c r="A677" s="5" t="s">
        <v>1032</v>
      </c>
      <c r="B677" s="6">
        <v>45965</v>
      </c>
      <c r="C677" s="5" t="s">
        <v>805</v>
      </c>
      <c r="D677" s="5" t="s">
        <v>29</v>
      </c>
      <c r="E677" s="5" t="s">
        <v>48</v>
      </c>
      <c r="F677" s="5" t="s">
        <v>49</v>
      </c>
      <c r="G677" s="5">
        <v>8</v>
      </c>
      <c r="H677" s="5">
        <v>8916</v>
      </c>
      <c r="I677" s="5">
        <v>71328</v>
      </c>
      <c r="J677" s="5" t="s">
        <v>16</v>
      </c>
      <c r="K677" s="5" t="s">
        <v>39</v>
      </c>
    </row>
    <row r="678" spans="1:11" x14ac:dyDescent="0.3">
      <c r="A678" s="3" t="s">
        <v>1033</v>
      </c>
      <c r="B678" s="4">
        <v>45764</v>
      </c>
      <c r="C678" s="3" t="s">
        <v>290</v>
      </c>
      <c r="D678" s="3" t="s">
        <v>59</v>
      </c>
      <c r="E678" s="3" t="s">
        <v>24</v>
      </c>
      <c r="F678" s="3" t="s">
        <v>25</v>
      </c>
      <c r="G678" s="3">
        <v>10</v>
      </c>
      <c r="H678" s="3">
        <v>1230</v>
      </c>
      <c r="I678" s="3">
        <v>12300</v>
      </c>
      <c r="J678" s="3" t="s">
        <v>16</v>
      </c>
      <c r="K678" s="3" t="s">
        <v>81</v>
      </c>
    </row>
    <row r="679" spans="1:11" x14ac:dyDescent="0.3">
      <c r="A679" s="5" t="s">
        <v>1034</v>
      </c>
      <c r="B679" s="6">
        <v>45966</v>
      </c>
      <c r="C679" s="5" t="s">
        <v>1035</v>
      </c>
      <c r="D679" s="5" t="s">
        <v>59</v>
      </c>
      <c r="E679" s="5" t="s">
        <v>30</v>
      </c>
      <c r="F679" s="5" t="s">
        <v>31</v>
      </c>
      <c r="G679" s="5">
        <v>3</v>
      </c>
      <c r="H679" s="5">
        <v>856</v>
      </c>
      <c r="I679" s="5">
        <v>2568</v>
      </c>
      <c r="J679" s="5" t="s">
        <v>16</v>
      </c>
      <c r="K679" s="5" t="s">
        <v>61</v>
      </c>
    </row>
    <row r="680" spans="1:11" x14ac:dyDescent="0.3">
      <c r="A680" s="3" t="s">
        <v>1036</v>
      </c>
      <c r="B680" s="4">
        <v>45803</v>
      </c>
      <c r="C680" s="3" t="s">
        <v>1037</v>
      </c>
      <c r="D680" s="3" t="s">
        <v>55</v>
      </c>
      <c r="E680" s="3" t="s">
        <v>20</v>
      </c>
      <c r="F680" s="3" t="s">
        <v>15</v>
      </c>
      <c r="G680" s="3">
        <v>7</v>
      </c>
      <c r="H680" s="3">
        <v>60431</v>
      </c>
      <c r="I680" s="3">
        <v>423017</v>
      </c>
      <c r="J680" s="3" t="s">
        <v>16</v>
      </c>
      <c r="K680" s="3" t="s">
        <v>64</v>
      </c>
    </row>
    <row r="681" spans="1:11" x14ac:dyDescent="0.3">
      <c r="A681" s="5" t="s">
        <v>1038</v>
      </c>
      <c r="B681" s="6">
        <v>45954</v>
      </c>
      <c r="C681" s="5" t="s">
        <v>500</v>
      </c>
      <c r="D681" s="5" t="s">
        <v>13</v>
      </c>
      <c r="E681" s="5" t="s">
        <v>60</v>
      </c>
      <c r="F681" s="5" t="s">
        <v>25</v>
      </c>
      <c r="G681" s="5">
        <v>9</v>
      </c>
      <c r="H681" s="5">
        <v>1403</v>
      </c>
      <c r="I681" s="5">
        <v>12627</v>
      </c>
      <c r="J681" s="5" t="s">
        <v>16</v>
      </c>
      <c r="K681" s="5" t="s">
        <v>36</v>
      </c>
    </row>
    <row r="682" spans="1:11" x14ac:dyDescent="0.3">
      <c r="A682" s="3" t="s">
        <v>1039</v>
      </c>
      <c r="B682" s="4">
        <v>45876</v>
      </c>
      <c r="C682" s="3" t="s">
        <v>484</v>
      </c>
      <c r="D682" s="3" t="s">
        <v>59</v>
      </c>
      <c r="E682" s="3" t="s">
        <v>45</v>
      </c>
      <c r="F682" s="3" t="s">
        <v>31</v>
      </c>
      <c r="G682" s="3">
        <v>6</v>
      </c>
      <c r="H682" s="3">
        <v>1943</v>
      </c>
      <c r="I682" s="3">
        <v>11658</v>
      </c>
      <c r="J682" s="3" t="s">
        <v>16</v>
      </c>
      <c r="K682" s="3" t="s">
        <v>17</v>
      </c>
    </row>
    <row r="683" spans="1:11" x14ac:dyDescent="0.3">
      <c r="A683" s="5" t="s">
        <v>1040</v>
      </c>
      <c r="B683" s="6">
        <v>45765</v>
      </c>
      <c r="C683" s="5" t="s">
        <v>1041</v>
      </c>
      <c r="D683" s="5" t="s">
        <v>59</v>
      </c>
      <c r="E683" s="5" t="s">
        <v>108</v>
      </c>
      <c r="F683" s="5" t="s">
        <v>49</v>
      </c>
      <c r="G683" s="5">
        <v>5</v>
      </c>
      <c r="H683" s="5">
        <v>6760</v>
      </c>
      <c r="I683" s="5">
        <v>33800</v>
      </c>
      <c r="J683" s="5" t="s">
        <v>16</v>
      </c>
      <c r="K683" s="5" t="s">
        <v>89</v>
      </c>
    </row>
    <row r="684" spans="1:11" x14ac:dyDescent="0.3">
      <c r="A684" s="3" t="s">
        <v>1042</v>
      </c>
      <c r="B684" s="4">
        <v>46010</v>
      </c>
      <c r="C684" s="3" t="s">
        <v>536</v>
      </c>
      <c r="D684" s="3" t="s">
        <v>59</v>
      </c>
      <c r="E684" s="3" t="s">
        <v>60</v>
      </c>
      <c r="F684" s="3" t="s">
        <v>25</v>
      </c>
      <c r="G684" s="3">
        <v>9</v>
      </c>
      <c r="H684" s="3">
        <v>1646</v>
      </c>
      <c r="I684" s="3">
        <v>14814</v>
      </c>
      <c r="J684" s="3" t="s">
        <v>16</v>
      </c>
      <c r="K684" s="3" t="s">
        <v>36</v>
      </c>
    </row>
    <row r="685" spans="1:11" x14ac:dyDescent="0.3">
      <c r="A685" s="5" t="s">
        <v>1043</v>
      </c>
      <c r="B685" s="6">
        <v>45952</v>
      </c>
      <c r="C685" s="5" t="s">
        <v>156</v>
      </c>
      <c r="D685" s="5" t="s">
        <v>55</v>
      </c>
      <c r="E685" s="5" t="s">
        <v>45</v>
      </c>
      <c r="F685" s="5" t="s">
        <v>31</v>
      </c>
      <c r="G685" s="5">
        <v>10</v>
      </c>
      <c r="H685" s="5">
        <v>1925</v>
      </c>
      <c r="I685" s="5">
        <v>19250</v>
      </c>
      <c r="J685" s="5" t="s">
        <v>16</v>
      </c>
      <c r="K685" s="5" t="s">
        <v>61</v>
      </c>
    </row>
    <row r="686" spans="1:11" x14ac:dyDescent="0.3">
      <c r="A686" s="3" t="s">
        <v>1044</v>
      </c>
      <c r="B686" s="4">
        <v>45910</v>
      </c>
      <c r="C686" s="3" t="s">
        <v>586</v>
      </c>
      <c r="D686" s="3" t="s">
        <v>55</v>
      </c>
      <c r="E686" s="3" t="s">
        <v>60</v>
      </c>
      <c r="F686" s="3" t="s">
        <v>25</v>
      </c>
      <c r="G686" s="3">
        <v>8</v>
      </c>
      <c r="H686" s="3">
        <v>1505</v>
      </c>
      <c r="I686" s="3">
        <v>12040</v>
      </c>
      <c r="J686" s="3" t="s">
        <v>16</v>
      </c>
      <c r="K686" s="3" t="s">
        <v>36</v>
      </c>
    </row>
    <row r="687" spans="1:11" x14ac:dyDescent="0.3">
      <c r="A687" s="5" t="s">
        <v>1045</v>
      </c>
      <c r="B687" s="6">
        <v>45718</v>
      </c>
      <c r="C687" s="5" t="s">
        <v>1046</v>
      </c>
      <c r="D687" s="5" t="s">
        <v>13</v>
      </c>
      <c r="E687" s="5" t="s">
        <v>30</v>
      </c>
      <c r="F687" s="5" t="s">
        <v>31</v>
      </c>
      <c r="G687" s="5">
        <v>1</v>
      </c>
      <c r="H687" s="5">
        <v>738</v>
      </c>
      <c r="I687" s="5">
        <v>738</v>
      </c>
      <c r="J687" s="5" t="s">
        <v>16</v>
      </c>
      <c r="K687" s="5" t="s">
        <v>84</v>
      </c>
    </row>
    <row r="688" spans="1:11" x14ac:dyDescent="0.3">
      <c r="A688" s="3" t="s">
        <v>1047</v>
      </c>
      <c r="B688" s="4">
        <v>45984</v>
      </c>
      <c r="C688" s="3" t="s">
        <v>51</v>
      </c>
      <c r="D688" s="3" t="s">
        <v>13</v>
      </c>
      <c r="E688" s="3" t="s">
        <v>98</v>
      </c>
      <c r="F688" s="3" t="s">
        <v>68</v>
      </c>
      <c r="G688" s="3">
        <v>1</v>
      </c>
      <c r="H688" s="3">
        <v>1740</v>
      </c>
      <c r="I688" s="3">
        <v>1740</v>
      </c>
      <c r="J688" s="3" t="s">
        <v>16</v>
      </c>
      <c r="K688" s="3" t="s">
        <v>39</v>
      </c>
    </row>
    <row r="689" spans="1:11" x14ac:dyDescent="0.3">
      <c r="A689" s="5" t="s">
        <v>1048</v>
      </c>
      <c r="B689" s="6">
        <v>45823</v>
      </c>
      <c r="C689" s="5" t="s">
        <v>1049</v>
      </c>
      <c r="D689" s="5" t="s">
        <v>13</v>
      </c>
      <c r="E689" s="5" t="s">
        <v>45</v>
      </c>
      <c r="F689" s="5" t="s">
        <v>31</v>
      </c>
      <c r="G689" s="5">
        <v>2</v>
      </c>
      <c r="H689" s="5">
        <v>1730</v>
      </c>
      <c r="I689" s="5">
        <v>3460</v>
      </c>
      <c r="J689" s="5" t="s">
        <v>16</v>
      </c>
      <c r="K689" s="5" t="s">
        <v>17</v>
      </c>
    </row>
    <row r="690" spans="1:11" x14ac:dyDescent="0.3">
      <c r="A690" s="3" t="s">
        <v>1050</v>
      </c>
      <c r="B690" s="4">
        <v>45747</v>
      </c>
      <c r="C690" s="3" t="s">
        <v>388</v>
      </c>
      <c r="D690" s="3" t="s">
        <v>13</v>
      </c>
      <c r="E690" s="3" t="s">
        <v>45</v>
      </c>
      <c r="F690" s="3" t="s">
        <v>31</v>
      </c>
      <c r="G690" s="3">
        <v>10</v>
      </c>
      <c r="H690" s="3">
        <v>1841</v>
      </c>
      <c r="I690" s="3">
        <v>18410</v>
      </c>
      <c r="J690" s="3" t="s">
        <v>16</v>
      </c>
      <c r="K690" s="3" t="s">
        <v>61</v>
      </c>
    </row>
    <row r="691" spans="1:11" x14ac:dyDescent="0.3">
      <c r="A691" s="5" t="s">
        <v>1051</v>
      </c>
      <c r="B691" s="6">
        <v>45979</v>
      </c>
      <c r="C691" s="5" t="s">
        <v>355</v>
      </c>
      <c r="D691" s="5" t="s">
        <v>55</v>
      </c>
      <c r="E691" s="5" t="s">
        <v>98</v>
      </c>
      <c r="F691" s="5" t="s">
        <v>68</v>
      </c>
      <c r="G691" s="5">
        <v>1</v>
      </c>
      <c r="H691" s="5">
        <v>1852</v>
      </c>
      <c r="I691" s="5">
        <v>1852</v>
      </c>
      <c r="J691" s="5" t="s">
        <v>16</v>
      </c>
      <c r="K691" s="5" t="s">
        <v>36</v>
      </c>
    </row>
    <row r="692" spans="1:11" x14ac:dyDescent="0.3">
      <c r="A692" s="3" t="s">
        <v>1052</v>
      </c>
      <c r="B692" s="4">
        <v>45924</v>
      </c>
      <c r="C692" s="3" t="s">
        <v>554</v>
      </c>
      <c r="D692" s="3" t="s">
        <v>55</v>
      </c>
      <c r="E692" s="3" t="s">
        <v>45</v>
      </c>
      <c r="F692" s="3" t="s">
        <v>31</v>
      </c>
      <c r="G692" s="3">
        <v>7</v>
      </c>
      <c r="H692" s="3">
        <v>1954</v>
      </c>
      <c r="I692" s="3">
        <v>13678</v>
      </c>
      <c r="J692" s="3" t="s">
        <v>16</v>
      </c>
      <c r="K692" s="3" t="s">
        <v>89</v>
      </c>
    </row>
    <row r="693" spans="1:11" x14ac:dyDescent="0.3">
      <c r="A693" s="5" t="s">
        <v>1053</v>
      </c>
      <c r="B693" s="6">
        <v>45827</v>
      </c>
      <c r="C693" s="5" t="s">
        <v>1054</v>
      </c>
      <c r="D693" s="5" t="s">
        <v>13</v>
      </c>
      <c r="E693" s="5" t="s">
        <v>34</v>
      </c>
      <c r="F693" s="5" t="s">
        <v>31</v>
      </c>
      <c r="G693" s="5">
        <v>9</v>
      </c>
      <c r="H693" s="5">
        <v>3163</v>
      </c>
      <c r="I693" s="5">
        <v>28467</v>
      </c>
      <c r="J693" s="5" t="s">
        <v>16</v>
      </c>
      <c r="K693" s="5" t="s">
        <v>17</v>
      </c>
    </row>
    <row r="694" spans="1:11" x14ac:dyDescent="0.3">
      <c r="A694" s="3" t="s">
        <v>1055</v>
      </c>
      <c r="B694" s="4">
        <v>45742</v>
      </c>
      <c r="C694" s="3" t="s">
        <v>719</v>
      </c>
      <c r="D694" s="3" t="s">
        <v>55</v>
      </c>
      <c r="E694" s="3" t="s">
        <v>30</v>
      </c>
      <c r="F694" s="3" t="s">
        <v>31</v>
      </c>
      <c r="G694" s="3">
        <v>6</v>
      </c>
      <c r="H694" s="3">
        <v>877</v>
      </c>
      <c r="I694" s="3">
        <v>5262</v>
      </c>
      <c r="J694" s="3" t="s">
        <v>16</v>
      </c>
      <c r="K694" s="3" t="s">
        <v>89</v>
      </c>
    </row>
    <row r="695" spans="1:11" x14ac:dyDescent="0.3">
      <c r="A695" s="5" t="s">
        <v>1056</v>
      </c>
      <c r="B695" s="6">
        <v>45674</v>
      </c>
      <c r="C695" s="5" t="s">
        <v>346</v>
      </c>
      <c r="D695" s="5" t="s">
        <v>29</v>
      </c>
      <c r="E695" s="5" t="s">
        <v>80</v>
      </c>
      <c r="F695" s="5" t="s">
        <v>25</v>
      </c>
      <c r="G695" s="5">
        <v>5</v>
      </c>
      <c r="H695" s="5">
        <v>2602</v>
      </c>
      <c r="I695" s="5">
        <v>13010</v>
      </c>
      <c r="J695" s="5" t="s">
        <v>16</v>
      </c>
      <c r="K695" s="5" t="s">
        <v>99</v>
      </c>
    </row>
    <row r="696" spans="1:11" x14ac:dyDescent="0.3">
      <c r="A696" s="3" t="s">
        <v>1057</v>
      </c>
      <c r="B696" s="4">
        <v>45926</v>
      </c>
      <c r="C696" s="3" t="s">
        <v>832</v>
      </c>
      <c r="D696" s="3" t="s">
        <v>59</v>
      </c>
      <c r="E696" s="3" t="s">
        <v>113</v>
      </c>
      <c r="F696" s="3" t="s">
        <v>49</v>
      </c>
      <c r="G696" s="3">
        <v>8</v>
      </c>
      <c r="H696" s="3">
        <v>12790</v>
      </c>
      <c r="I696" s="3">
        <v>102320</v>
      </c>
      <c r="J696" s="3" t="s">
        <v>16</v>
      </c>
      <c r="K696" s="3" t="s">
        <v>81</v>
      </c>
    </row>
    <row r="697" spans="1:11" x14ac:dyDescent="0.3">
      <c r="A697" s="5" t="s">
        <v>1058</v>
      </c>
      <c r="B697" s="6">
        <v>45905</v>
      </c>
      <c r="C697" s="5" t="s">
        <v>562</v>
      </c>
      <c r="D697" s="5" t="s">
        <v>59</v>
      </c>
      <c r="E697" s="5" t="s">
        <v>52</v>
      </c>
      <c r="F697" s="5" t="s">
        <v>15</v>
      </c>
      <c r="G697" s="5">
        <v>2</v>
      </c>
      <c r="H697" s="5">
        <v>24718</v>
      </c>
      <c r="I697" s="5">
        <v>49436</v>
      </c>
      <c r="J697" s="5" t="s">
        <v>16</v>
      </c>
      <c r="K697" s="5" t="s">
        <v>81</v>
      </c>
    </row>
    <row r="698" spans="1:11" x14ac:dyDescent="0.3">
      <c r="A698" s="3" t="s">
        <v>1059</v>
      </c>
      <c r="B698" s="4">
        <v>45708</v>
      </c>
      <c r="C698" s="3" t="s">
        <v>660</v>
      </c>
      <c r="D698" s="3" t="s">
        <v>59</v>
      </c>
      <c r="E698" s="3" t="s">
        <v>67</v>
      </c>
      <c r="F698" s="3" t="s">
        <v>68</v>
      </c>
      <c r="G698" s="3">
        <v>9</v>
      </c>
      <c r="H698" s="3">
        <v>481</v>
      </c>
      <c r="I698" s="3">
        <v>4329</v>
      </c>
      <c r="J698" s="3" t="s">
        <v>16</v>
      </c>
      <c r="K698" s="3" t="s">
        <v>64</v>
      </c>
    </row>
    <row r="699" spans="1:11" x14ac:dyDescent="0.3">
      <c r="A699" s="5" t="s">
        <v>1060</v>
      </c>
      <c r="B699" s="6">
        <v>45925</v>
      </c>
      <c r="C699" s="5" t="s">
        <v>253</v>
      </c>
      <c r="D699" s="5" t="s">
        <v>55</v>
      </c>
      <c r="E699" s="5" t="s">
        <v>48</v>
      </c>
      <c r="F699" s="5" t="s">
        <v>49</v>
      </c>
      <c r="G699" s="5">
        <v>1</v>
      </c>
      <c r="H699" s="5">
        <v>8926</v>
      </c>
      <c r="I699" s="5">
        <v>8926</v>
      </c>
      <c r="J699" s="5" t="s">
        <v>16</v>
      </c>
      <c r="K699" s="5" t="s">
        <v>39</v>
      </c>
    </row>
    <row r="700" spans="1:11" x14ac:dyDescent="0.3">
      <c r="A700" s="3" t="s">
        <v>1061</v>
      </c>
      <c r="B700" s="4">
        <v>45924</v>
      </c>
      <c r="C700" s="3" t="s">
        <v>164</v>
      </c>
      <c r="D700" s="3" t="s">
        <v>59</v>
      </c>
      <c r="E700" s="3" t="s">
        <v>20</v>
      </c>
      <c r="F700" s="3" t="s">
        <v>15</v>
      </c>
      <c r="G700" s="3">
        <v>6</v>
      </c>
      <c r="H700" s="3">
        <v>54635</v>
      </c>
      <c r="I700" s="3">
        <v>327810</v>
      </c>
      <c r="J700" s="3" t="s">
        <v>16</v>
      </c>
      <c r="K700" s="3" t="s">
        <v>26</v>
      </c>
    </row>
    <row r="701" spans="1:11" x14ac:dyDescent="0.3">
      <c r="A701" s="5" t="s">
        <v>1062</v>
      </c>
      <c r="B701" s="6">
        <v>45799</v>
      </c>
      <c r="C701" s="5" t="s">
        <v>1010</v>
      </c>
      <c r="D701" s="5" t="s">
        <v>59</v>
      </c>
      <c r="E701" s="5" t="s">
        <v>24</v>
      </c>
      <c r="F701" s="5" t="s">
        <v>25</v>
      </c>
      <c r="G701" s="5">
        <v>4</v>
      </c>
      <c r="H701" s="5">
        <v>1157</v>
      </c>
      <c r="I701" s="5">
        <v>4628</v>
      </c>
      <c r="J701" s="5" t="s">
        <v>16</v>
      </c>
      <c r="K701" s="5" t="s">
        <v>61</v>
      </c>
    </row>
    <row r="702" spans="1:11" x14ac:dyDescent="0.3">
      <c r="A702" s="3" t="s">
        <v>1063</v>
      </c>
      <c r="B702" s="4">
        <v>45976</v>
      </c>
      <c r="C702" s="3" t="s">
        <v>573</v>
      </c>
      <c r="D702" s="3" t="s">
        <v>55</v>
      </c>
      <c r="E702" s="3" t="s">
        <v>14</v>
      </c>
      <c r="F702" s="3" t="s">
        <v>15</v>
      </c>
      <c r="G702" s="3">
        <v>3</v>
      </c>
      <c r="H702" s="3">
        <v>2794</v>
      </c>
      <c r="I702" s="3">
        <v>8382</v>
      </c>
      <c r="J702" s="3" t="s">
        <v>16</v>
      </c>
      <c r="K702" s="3" t="s">
        <v>92</v>
      </c>
    </row>
    <row r="703" spans="1:11" x14ac:dyDescent="0.3">
      <c r="A703" s="5" t="s">
        <v>1064</v>
      </c>
      <c r="B703" s="6">
        <v>46018</v>
      </c>
      <c r="C703" s="5" t="s">
        <v>126</v>
      </c>
      <c r="D703" s="5" t="s">
        <v>59</v>
      </c>
      <c r="E703" s="5" t="s">
        <v>24</v>
      </c>
      <c r="F703" s="5" t="s">
        <v>25</v>
      </c>
      <c r="G703" s="5">
        <v>9</v>
      </c>
      <c r="H703" s="5">
        <v>1156</v>
      </c>
      <c r="I703" s="5">
        <v>10404</v>
      </c>
      <c r="J703" s="5" t="s">
        <v>16</v>
      </c>
      <c r="K703" s="5" t="s">
        <v>89</v>
      </c>
    </row>
    <row r="704" spans="1:11" x14ac:dyDescent="0.3">
      <c r="A704" s="3" t="s">
        <v>1065</v>
      </c>
      <c r="B704" s="4">
        <v>45683</v>
      </c>
      <c r="C704" s="3" t="s">
        <v>430</v>
      </c>
      <c r="D704" s="3" t="s">
        <v>59</v>
      </c>
      <c r="E704" s="3" t="s">
        <v>14</v>
      </c>
      <c r="F704" s="3" t="s">
        <v>15</v>
      </c>
      <c r="G704" s="3">
        <v>10</v>
      </c>
      <c r="H704" s="3">
        <v>3235</v>
      </c>
      <c r="I704" s="3">
        <v>32350</v>
      </c>
      <c r="J704" s="3" t="s">
        <v>16</v>
      </c>
      <c r="K704" s="3" t="s">
        <v>39</v>
      </c>
    </row>
    <row r="705" spans="1:11" x14ac:dyDescent="0.3">
      <c r="A705" s="5" t="s">
        <v>1066</v>
      </c>
      <c r="B705" s="6">
        <v>45749</v>
      </c>
      <c r="C705" s="5" t="s">
        <v>955</v>
      </c>
      <c r="D705" s="5" t="s">
        <v>29</v>
      </c>
      <c r="E705" s="5" t="s">
        <v>20</v>
      </c>
      <c r="F705" s="5" t="s">
        <v>15</v>
      </c>
      <c r="G705" s="5">
        <v>7</v>
      </c>
      <c r="H705" s="5">
        <v>50091</v>
      </c>
      <c r="I705" s="5">
        <v>350637</v>
      </c>
      <c r="J705" s="5" t="s">
        <v>16</v>
      </c>
      <c r="K705" s="5" t="s">
        <v>36</v>
      </c>
    </row>
    <row r="706" spans="1:11" x14ac:dyDescent="0.3">
      <c r="A706" s="3" t="s">
        <v>1067</v>
      </c>
      <c r="B706" s="4">
        <v>46001</v>
      </c>
      <c r="C706" s="3" t="s">
        <v>189</v>
      </c>
      <c r="D706" s="3" t="s">
        <v>13</v>
      </c>
      <c r="E706" s="3" t="s">
        <v>67</v>
      </c>
      <c r="F706" s="3" t="s">
        <v>68</v>
      </c>
      <c r="G706" s="3">
        <v>6</v>
      </c>
      <c r="H706" s="3">
        <v>481</v>
      </c>
      <c r="I706" s="3">
        <v>2886</v>
      </c>
      <c r="J706" s="3" t="s">
        <v>35</v>
      </c>
      <c r="K706" s="3" t="s">
        <v>17</v>
      </c>
    </row>
    <row r="707" spans="1:11" x14ac:dyDescent="0.3">
      <c r="A707" s="5" t="s">
        <v>1068</v>
      </c>
      <c r="B707" s="6">
        <v>46015</v>
      </c>
      <c r="C707" s="5" t="s">
        <v>932</v>
      </c>
      <c r="D707" s="5" t="s">
        <v>55</v>
      </c>
      <c r="E707" s="5" t="s">
        <v>67</v>
      </c>
      <c r="F707" s="5" t="s">
        <v>68</v>
      </c>
      <c r="G707" s="5">
        <v>3</v>
      </c>
      <c r="H707" s="5">
        <v>459</v>
      </c>
      <c r="I707" s="5">
        <v>1377</v>
      </c>
      <c r="J707" s="5" t="s">
        <v>16</v>
      </c>
      <c r="K707" s="5" t="s">
        <v>17</v>
      </c>
    </row>
    <row r="708" spans="1:11" x14ac:dyDescent="0.3">
      <c r="A708" s="3" t="s">
        <v>1069</v>
      </c>
      <c r="B708" s="4">
        <v>45973</v>
      </c>
      <c r="C708" s="3" t="s">
        <v>748</v>
      </c>
      <c r="D708" s="3" t="s">
        <v>29</v>
      </c>
      <c r="E708" s="3" t="s">
        <v>98</v>
      </c>
      <c r="F708" s="3" t="s">
        <v>68</v>
      </c>
      <c r="G708" s="3">
        <v>4</v>
      </c>
      <c r="H708" s="3">
        <v>1961</v>
      </c>
      <c r="I708" s="3">
        <v>7844</v>
      </c>
      <c r="J708" s="3" t="s">
        <v>16</v>
      </c>
      <c r="K708" s="3" t="s">
        <v>36</v>
      </c>
    </row>
    <row r="709" spans="1:11" x14ac:dyDescent="0.3">
      <c r="A709" s="5" t="s">
        <v>1070</v>
      </c>
      <c r="B709" s="6">
        <v>45890</v>
      </c>
      <c r="C709" s="5" t="s">
        <v>767</v>
      </c>
      <c r="D709" s="5" t="s">
        <v>29</v>
      </c>
      <c r="E709" s="5" t="s">
        <v>48</v>
      </c>
      <c r="F709" s="5" t="s">
        <v>49</v>
      </c>
      <c r="G709" s="5">
        <v>6</v>
      </c>
      <c r="H709" s="5">
        <v>9519</v>
      </c>
      <c r="I709" s="5">
        <v>57114</v>
      </c>
      <c r="J709" s="5" t="s">
        <v>35</v>
      </c>
      <c r="K709" s="5" t="s">
        <v>39</v>
      </c>
    </row>
    <row r="710" spans="1:11" x14ac:dyDescent="0.3">
      <c r="A710" s="3" t="s">
        <v>1071</v>
      </c>
      <c r="B710" s="4">
        <v>45836</v>
      </c>
      <c r="C710" s="3" t="s">
        <v>536</v>
      </c>
      <c r="D710" s="3" t="s">
        <v>59</v>
      </c>
      <c r="E710" s="3" t="s">
        <v>14</v>
      </c>
      <c r="F710" s="3" t="s">
        <v>15</v>
      </c>
      <c r="G710" s="3">
        <v>8</v>
      </c>
      <c r="H710" s="3">
        <v>2976</v>
      </c>
      <c r="I710" s="3">
        <v>23808</v>
      </c>
      <c r="J710" s="3" t="s">
        <v>16</v>
      </c>
      <c r="K710" s="3" t="s">
        <v>89</v>
      </c>
    </row>
    <row r="711" spans="1:11" x14ac:dyDescent="0.3">
      <c r="A711" s="5" t="s">
        <v>1072</v>
      </c>
      <c r="B711" s="6">
        <v>45812</v>
      </c>
      <c r="C711" s="5" t="s">
        <v>1010</v>
      </c>
      <c r="D711" s="5" t="s">
        <v>59</v>
      </c>
      <c r="E711" s="5" t="s">
        <v>116</v>
      </c>
      <c r="F711" s="5" t="s">
        <v>15</v>
      </c>
      <c r="G711" s="5">
        <v>2</v>
      </c>
      <c r="H711" s="5">
        <v>7721</v>
      </c>
      <c r="I711" s="5">
        <v>15442</v>
      </c>
      <c r="J711" s="5" t="s">
        <v>16</v>
      </c>
      <c r="K711" s="5" t="s">
        <v>95</v>
      </c>
    </row>
    <row r="712" spans="1:11" x14ac:dyDescent="0.3">
      <c r="A712" s="3" t="s">
        <v>1073</v>
      </c>
      <c r="B712" s="4">
        <v>45904</v>
      </c>
      <c r="C712" s="3" t="s">
        <v>632</v>
      </c>
      <c r="D712" s="3" t="s">
        <v>29</v>
      </c>
      <c r="E712" s="3" t="s">
        <v>73</v>
      </c>
      <c r="F712" s="3" t="s">
        <v>68</v>
      </c>
      <c r="G712" s="3">
        <v>10</v>
      </c>
      <c r="H712" s="3">
        <v>1138</v>
      </c>
      <c r="I712" s="3">
        <v>11380</v>
      </c>
      <c r="J712" s="3" t="s">
        <v>16</v>
      </c>
      <c r="K712" s="3" t="s">
        <v>17</v>
      </c>
    </row>
    <row r="713" spans="1:11" x14ac:dyDescent="0.3">
      <c r="A713" s="5" t="s">
        <v>1074</v>
      </c>
      <c r="B713" s="6">
        <v>46013</v>
      </c>
      <c r="C713" s="5" t="s">
        <v>498</v>
      </c>
      <c r="D713" s="5" t="s">
        <v>59</v>
      </c>
      <c r="E713" s="5" t="s">
        <v>24</v>
      </c>
      <c r="F713" s="5" t="s">
        <v>25</v>
      </c>
      <c r="G713" s="5">
        <v>7</v>
      </c>
      <c r="H713" s="5">
        <v>1216</v>
      </c>
      <c r="I713" s="5">
        <v>8512</v>
      </c>
      <c r="J713" s="5" t="s">
        <v>16</v>
      </c>
      <c r="K713" s="5" t="s">
        <v>81</v>
      </c>
    </row>
    <row r="714" spans="1:11" x14ac:dyDescent="0.3">
      <c r="A714" s="3" t="s">
        <v>1075</v>
      </c>
      <c r="B714" s="4">
        <v>45942</v>
      </c>
      <c r="C714" s="3" t="s">
        <v>920</v>
      </c>
      <c r="D714" s="3" t="s">
        <v>13</v>
      </c>
      <c r="E714" s="3" t="s">
        <v>116</v>
      </c>
      <c r="F714" s="3" t="s">
        <v>15</v>
      </c>
      <c r="G714" s="3">
        <v>2</v>
      </c>
      <c r="H714" s="3">
        <v>8147</v>
      </c>
      <c r="I714" s="3">
        <v>16294</v>
      </c>
      <c r="J714" s="3" t="s">
        <v>16</v>
      </c>
      <c r="K714" s="3" t="s">
        <v>42</v>
      </c>
    </row>
    <row r="715" spans="1:11" x14ac:dyDescent="0.3">
      <c r="A715" s="5" t="s">
        <v>1076</v>
      </c>
      <c r="B715" s="6">
        <v>45963</v>
      </c>
      <c r="C715" s="5" t="s">
        <v>28</v>
      </c>
      <c r="D715" s="5" t="s">
        <v>29</v>
      </c>
      <c r="E715" s="5" t="s">
        <v>45</v>
      </c>
      <c r="F715" s="5" t="s">
        <v>31</v>
      </c>
      <c r="G715" s="5">
        <v>2</v>
      </c>
      <c r="H715" s="5">
        <v>1835</v>
      </c>
      <c r="I715" s="5">
        <v>3670</v>
      </c>
      <c r="J715" s="5" t="s">
        <v>16</v>
      </c>
      <c r="K715" s="5" t="s">
        <v>61</v>
      </c>
    </row>
    <row r="716" spans="1:11" x14ac:dyDescent="0.3">
      <c r="A716" s="3" t="s">
        <v>1077</v>
      </c>
      <c r="B716" s="4">
        <v>45983</v>
      </c>
      <c r="C716" s="3" t="s">
        <v>705</v>
      </c>
      <c r="D716" s="3" t="s">
        <v>29</v>
      </c>
      <c r="E716" s="3" t="s">
        <v>20</v>
      </c>
      <c r="F716" s="3" t="s">
        <v>15</v>
      </c>
      <c r="G716" s="3">
        <v>4</v>
      </c>
      <c r="H716" s="3">
        <v>58487</v>
      </c>
      <c r="I716" s="3">
        <v>233948</v>
      </c>
      <c r="J716" s="3" t="s">
        <v>35</v>
      </c>
      <c r="K716" s="3" t="s">
        <v>84</v>
      </c>
    </row>
    <row r="717" spans="1:11" x14ac:dyDescent="0.3">
      <c r="A717" s="5" t="s">
        <v>1078</v>
      </c>
      <c r="B717" s="6">
        <v>45886</v>
      </c>
      <c r="C717" s="5" t="s">
        <v>1079</v>
      </c>
      <c r="D717" s="5" t="s">
        <v>59</v>
      </c>
      <c r="E717" s="5" t="s">
        <v>113</v>
      </c>
      <c r="F717" s="5" t="s">
        <v>49</v>
      </c>
      <c r="G717" s="5">
        <v>9</v>
      </c>
      <c r="H717" s="5">
        <v>11499</v>
      </c>
      <c r="I717" s="5">
        <v>103491</v>
      </c>
      <c r="J717" s="5" t="s">
        <v>16</v>
      </c>
      <c r="K717" s="5" t="s">
        <v>21</v>
      </c>
    </row>
    <row r="718" spans="1:11" x14ac:dyDescent="0.3">
      <c r="A718" s="3" t="s">
        <v>1080</v>
      </c>
      <c r="B718" s="4">
        <v>45880</v>
      </c>
      <c r="C718" s="3" t="s">
        <v>479</v>
      </c>
      <c r="D718" s="3" t="s">
        <v>13</v>
      </c>
      <c r="E718" s="3" t="s">
        <v>45</v>
      </c>
      <c r="F718" s="3" t="s">
        <v>31</v>
      </c>
      <c r="G718" s="3">
        <v>10</v>
      </c>
      <c r="H718" s="3">
        <v>1905</v>
      </c>
      <c r="I718" s="3">
        <v>19050</v>
      </c>
      <c r="J718" s="3" t="s">
        <v>16</v>
      </c>
      <c r="K718" s="3" t="s">
        <v>17</v>
      </c>
    </row>
    <row r="719" spans="1:11" x14ac:dyDescent="0.3">
      <c r="A719" s="5" t="s">
        <v>1081</v>
      </c>
      <c r="B719" s="6">
        <v>45689</v>
      </c>
      <c r="C719" s="5" t="s">
        <v>1082</v>
      </c>
      <c r="D719" s="5" t="s">
        <v>13</v>
      </c>
      <c r="E719" s="5" t="s">
        <v>60</v>
      </c>
      <c r="F719" s="5" t="s">
        <v>25</v>
      </c>
      <c r="G719" s="5">
        <v>7</v>
      </c>
      <c r="H719" s="5">
        <v>1604</v>
      </c>
      <c r="I719" s="5">
        <v>11228</v>
      </c>
      <c r="J719" s="5" t="s">
        <v>35</v>
      </c>
      <c r="K719" s="5" t="s">
        <v>36</v>
      </c>
    </row>
    <row r="720" spans="1:11" x14ac:dyDescent="0.3">
      <c r="A720" s="3" t="s">
        <v>1083</v>
      </c>
      <c r="B720" s="4">
        <v>45802</v>
      </c>
      <c r="C720" s="3" t="s">
        <v>445</v>
      </c>
      <c r="D720" s="3" t="s">
        <v>29</v>
      </c>
      <c r="E720" s="3" t="s">
        <v>20</v>
      </c>
      <c r="F720" s="3" t="s">
        <v>15</v>
      </c>
      <c r="G720" s="3">
        <v>9</v>
      </c>
      <c r="H720" s="3">
        <v>58528</v>
      </c>
      <c r="I720" s="3">
        <v>526752</v>
      </c>
      <c r="J720" s="3" t="s">
        <v>16</v>
      </c>
      <c r="K720" s="3" t="s">
        <v>21</v>
      </c>
    </row>
    <row r="721" spans="1:11" x14ac:dyDescent="0.3">
      <c r="A721" s="5" t="s">
        <v>1084</v>
      </c>
      <c r="B721" s="6">
        <v>45880</v>
      </c>
      <c r="C721" s="5" t="s">
        <v>12</v>
      </c>
      <c r="D721" s="5" t="s">
        <v>29</v>
      </c>
      <c r="E721" s="5" t="s">
        <v>24</v>
      </c>
      <c r="F721" s="5" t="s">
        <v>25</v>
      </c>
      <c r="G721" s="5">
        <v>6</v>
      </c>
      <c r="H721" s="5">
        <v>1250</v>
      </c>
      <c r="I721" s="5">
        <v>7500</v>
      </c>
      <c r="J721" s="5" t="s">
        <v>16</v>
      </c>
      <c r="K721" s="5" t="s">
        <v>21</v>
      </c>
    </row>
    <row r="722" spans="1:11" x14ac:dyDescent="0.3">
      <c r="A722" s="3" t="s">
        <v>1085</v>
      </c>
      <c r="B722" s="4">
        <v>45842</v>
      </c>
      <c r="C722" s="3" t="s">
        <v>1086</v>
      </c>
      <c r="D722" s="3" t="s">
        <v>13</v>
      </c>
      <c r="E722" s="3" t="s">
        <v>73</v>
      </c>
      <c r="F722" s="3" t="s">
        <v>68</v>
      </c>
      <c r="G722" s="3">
        <v>4</v>
      </c>
      <c r="H722" s="3">
        <v>1213</v>
      </c>
      <c r="I722" s="3">
        <v>4852</v>
      </c>
      <c r="J722" s="3" t="s">
        <v>35</v>
      </c>
      <c r="K722" s="3" t="s">
        <v>81</v>
      </c>
    </row>
    <row r="723" spans="1:11" x14ac:dyDescent="0.3">
      <c r="A723" s="5" t="s">
        <v>1087</v>
      </c>
      <c r="B723" s="6">
        <v>45907</v>
      </c>
      <c r="C723" s="5" t="s">
        <v>340</v>
      </c>
      <c r="D723" s="5" t="s">
        <v>59</v>
      </c>
      <c r="E723" s="5" t="s">
        <v>108</v>
      </c>
      <c r="F723" s="5" t="s">
        <v>49</v>
      </c>
      <c r="G723" s="5">
        <v>1</v>
      </c>
      <c r="H723" s="5">
        <v>6400</v>
      </c>
      <c r="I723" s="5">
        <v>6400</v>
      </c>
      <c r="J723" s="5" t="s">
        <v>16</v>
      </c>
      <c r="K723" s="5" t="s">
        <v>99</v>
      </c>
    </row>
    <row r="724" spans="1:11" x14ac:dyDescent="0.3">
      <c r="A724" s="3" t="s">
        <v>1088</v>
      </c>
      <c r="B724" s="4">
        <v>45891</v>
      </c>
      <c r="C724" s="3" t="s">
        <v>536</v>
      </c>
      <c r="D724" s="3" t="s">
        <v>55</v>
      </c>
      <c r="E724" s="3" t="s">
        <v>108</v>
      </c>
      <c r="F724" s="3" t="s">
        <v>49</v>
      </c>
      <c r="G724" s="3">
        <v>3</v>
      </c>
      <c r="H724" s="3">
        <v>7199</v>
      </c>
      <c r="I724" s="3">
        <v>21597</v>
      </c>
      <c r="J724" s="3" t="s">
        <v>16</v>
      </c>
      <c r="K724" s="3" t="s">
        <v>36</v>
      </c>
    </row>
    <row r="725" spans="1:11" x14ac:dyDescent="0.3">
      <c r="A725" s="5" t="s">
        <v>1089</v>
      </c>
      <c r="B725" s="6">
        <v>45854</v>
      </c>
      <c r="C725" s="5" t="s">
        <v>1054</v>
      </c>
      <c r="D725" s="5" t="s">
        <v>29</v>
      </c>
      <c r="E725" s="5" t="s">
        <v>113</v>
      </c>
      <c r="F725" s="5" t="s">
        <v>49</v>
      </c>
      <c r="G725" s="5">
        <v>9</v>
      </c>
      <c r="H725" s="5">
        <v>11817</v>
      </c>
      <c r="I725" s="5">
        <v>106353</v>
      </c>
      <c r="J725" s="5" t="s">
        <v>35</v>
      </c>
      <c r="K725" s="5" t="s">
        <v>21</v>
      </c>
    </row>
    <row r="726" spans="1:11" x14ac:dyDescent="0.3">
      <c r="A726" s="3" t="s">
        <v>1090</v>
      </c>
      <c r="B726" s="4">
        <v>46022</v>
      </c>
      <c r="C726" s="3" t="s">
        <v>562</v>
      </c>
      <c r="D726" s="3" t="s">
        <v>59</v>
      </c>
      <c r="E726" s="3" t="s">
        <v>80</v>
      </c>
      <c r="F726" s="3" t="s">
        <v>25</v>
      </c>
      <c r="G726" s="3">
        <v>10</v>
      </c>
      <c r="H726" s="3">
        <v>2499</v>
      </c>
      <c r="I726" s="3">
        <v>24990</v>
      </c>
      <c r="J726" s="3" t="s">
        <v>16</v>
      </c>
      <c r="K726" s="3" t="s">
        <v>56</v>
      </c>
    </row>
    <row r="727" spans="1:11" x14ac:dyDescent="0.3">
      <c r="A727" s="5" t="s">
        <v>1091</v>
      </c>
      <c r="B727" s="6">
        <v>45905</v>
      </c>
      <c r="C727" s="5" t="s">
        <v>311</v>
      </c>
      <c r="D727" s="5" t="s">
        <v>29</v>
      </c>
      <c r="E727" s="5" t="s">
        <v>60</v>
      </c>
      <c r="F727" s="5" t="s">
        <v>25</v>
      </c>
      <c r="G727" s="5">
        <v>6</v>
      </c>
      <c r="H727" s="5">
        <v>1360</v>
      </c>
      <c r="I727" s="5">
        <v>8160</v>
      </c>
      <c r="J727" s="5" t="s">
        <v>16</v>
      </c>
      <c r="K727" s="5" t="s">
        <v>17</v>
      </c>
    </row>
    <row r="728" spans="1:11" x14ac:dyDescent="0.3">
      <c r="A728" s="3" t="s">
        <v>1092</v>
      </c>
      <c r="B728" s="4">
        <v>45801</v>
      </c>
      <c r="C728" s="3" t="s">
        <v>434</v>
      </c>
      <c r="D728" s="3" t="s">
        <v>13</v>
      </c>
      <c r="E728" s="3" t="s">
        <v>52</v>
      </c>
      <c r="F728" s="3" t="s">
        <v>15</v>
      </c>
      <c r="G728" s="3">
        <v>9</v>
      </c>
      <c r="H728" s="3">
        <v>27417</v>
      </c>
      <c r="I728" s="3">
        <v>246753</v>
      </c>
      <c r="J728" s="3" t="s">
        <v>128</v>
      </c>
      <c r="K728" s="3" t="s">
        <v>92</v>
      </c>
    </row>
    <row r="729" spans="1:11" x14ac:dyDescent="0.3">
      <c r="A729" s="5" t="s">
        <v>1093</v>
      </c>
      <c r="B729" s="6">
        <v>46000</v>
      </c>
      <c r="C729" s="5" t="s">
        <v>577</v>
      </c>
      <c r="D729" s="5" t="s">
        <v>59</v>
      </c>
      <c r="E729" s="5" t="s">
        <v>80</v>
      </c>
      <c r="F729" s="5" t="s">
        <v>25</v>
      </c>
      <c r="G729" s="5">
        <v>4</v>
      </c>
      <c r="H729" s="5">
        <v>2486</v>
      </c>
      <c r="I729" s="5">
        <v>9944</v>
      </c>
      <c r="J729" s="5" t="s">
        <v>16</v>
      </c>
      <c r="K729" s="5" t="s">
        <v>64</v>
      </c>
    </row>
    <row r="730" spans="1:11" x14ac:dyDescent="0.3">
      <c r="A730" s="3" t="s">
        <v>1094</v>
      </c>
      <c r="B730" s="4">
        <v>45663</v>
      </c>
      <c r="C730" s="3" t="s">
        <v>145</v>
      </c>
      <c r="D730" s="3" t="s">
        <v>13</v>
      </c>
      <c r="E730" s="3" t="s">
        <v>24</v>
      </c>
      <c r="F730" s="3" t="s">
        <v>25</v>
      </c>
      <c r="G730" s="3">
        <v>10</v>
      </c>
      <c r="H730" s="3">
        <v>1092</v>
      </c>
      <c r="I730" s="3">
        <v>10920</v>
      </c>
      <c r="J730" s="3" t="s">
        <v>16</v>
      </c>
      <c r="K730" s="3" t="s">
        <v>95</v>
      </c>
    </row>
    <row r="731" spans="1:11" x14ac:dyDescent="0.3">
      <c r="A731" s="5" t="s">
        <v>1095</v>
      </c>
      <c r="B731" s="6">
        <v>45808</v>
      </c>
      <c r="C731" s="5" t="s">
        <v>357</v>
      </c>
      <c r="D731" s="5" t="s">
        <v>29</v>
      </c>
      <c r="E731" s="5" t="s">
        <v>67</v>
      </c>
      <c r="F731" s="5" t="s">
        <v>68</v>
      </c>
      <c r="G731" s="5">
        <v>6</v>
      </c>
      <c r="H731" s="5">
        <v>492</v>
      </c>
      <c r="I731" s="5">
        <v>2952</v>
      </c>
      <c r="J731" s="5" t="s">
        <v>128</v>
      </c>
      <c r="K731" s="5" t="s">
        <v>81</v>
      </c>
    </row>
    <row r="732" spans="1:11" x14ac:dyDescent="0.3">
      <c r="A732" s="3" t="s">
        <v>1096</v>
      </c>
      <c r="B732" s="4">
        <v>45689</v>
      </c>
      <c r="C732" s="3" t="s">
        <v>686</v>
      </c>
      <c r="D732" s="3" t="s">
        <v>59</v>
      </c>
      <c r="E732" s="3" t="s">
        <v>60</v>
      </c>
      <c r="F732" s="3" t="s">
        <v>25</v>
      </c>
      <c r="G732" s="3">
        <v>5</v>
      </c>
      <c r="H732" s="3">
        <v>1568</v>
      </c>
      <c r="I732" s="3">
        <v>7840</v>
      </c>
      <c r="J732" s="3" t="s">
        <v>16</v>
      </c>
      <c r="K732" s="3" t="s">
        <v>95</v>
      </c>
    </row>
    <row r="733" spans="1:11" x14ac:dyDescent="0.3">
      <c r="A733" s="5" t="s">
        <v>1097</v>
      </c>
      <c r="B733" s="6">
        <v>45804</v>
      </c>
      <c r="C733" s="5" t="s">
        <v>177</v>
      </c>
      <c r="D733" s="5" t="s">
        <v>13</v>
      </c>
      <c r="E733" s="5" t="s">
        <v>80</v>
      </c>
      <c r="F733" s="5" t="s">
        <v>25</v>
      </c>
      <c r="G733" s="5">
        <v>5</v>
      </c>
      <c r="H733" s="5">
        <v>2654</v>
      </c>
      <c r="I733" s="5">
        <v>13270</v>
      </c>
      <c r="J733" s="5" t="s">
        <v>16</v>
      </c>
      <c r="K733" s="5" t="s">
        <v>17</v>
      </c>
    </row>
    <row r="734" spans="1:11" x14ac:dyDescent="0.3">
      <c r="A734" s="3" t="s">
        <v>1098</v>
      </c>
      <c r="B734" s="4">
        <v>45789</v>
      </c>
      <c r="C734" s="3" t="s">
        <v>224</v>
      </c>
      <c r="D734" s="3" t="s">
        <v>59</v>
      </c>
      <c r="E734" s="3" t="s">
        <v>14</v>
      </c>
      <c r="F734" s="3" t="s">
        <v>15</v>
      </c>
      <c r="G734" s="3">
        <v>5</v>
      </c>
      <c r="H734" s="3">
        <v>2779</v>
      </c>
      <c r="I734" s="3">
        <v>13895</v>
      </c>
      <c r="J734" s="3" t="s">
        <v>16</v>
      </c>
      <c r="K734" s="3" t="s">
        <v>26</v>
      </c>
    </row>
    <row r="735" spans="1:11" x14ac:dyDescent="0.3">
      <c r="A735" s="5" t="s">
        <v>1099</v>
      </c>
      <c r="B735" s="6">
        <v>45747</v>
      </c>
      <c r="C735" s="5" t="s">
        <v>120</v>
      </c>
      <c r="D735" s="5" t="s">
        <v>59</v>
      </c>
      <c r="E735" s="5" t="s">
        <v>48</v>
      </c>
      <c r="F735" s="5" t="s">
        <v>49</v>
      </c>
      <c r="G735" s="5">
        <v>3</v>
      </c>
      <c r="H735" s="5">
        <v>9286</v>
      </c>
      <c r="I735" s="5">
        <v>27858</v>
      </c>
      <c r="J735" s="5" t="s">
        <v>16</v>
      </c>
      <c r="K735" s="5" t="s">
        <v>84</v>
      </c>
    </row>
    <row r="736" spans="1:11" x14ac:dyDescent="0.3">
      <c r="A736" s="3" t="s">
        <v>1100</v>
      </c>
      <c r="B736" s="4">
        <v>45701</v>
      </c>
      <c r="C736" s="3" t="s">
        <v>892</v>
      </c>
      <c r="D736" s="3" t="s">
        <v>13</v>
      </c>
      <c r="E736" s="3" t="s">
        <v>73</v>
      </c>
      <c r="F736" s="3" t="s">
        <v>68</v>
      </c>
      <c r="G736" s="3">
        <v>9</v>
      </c>
      <c r="H736" s="3">
        <v>1286</v>
      </c>
      <c r="I736" s="3">
        <v>11574</v>
      </c>
      <c r="J736" s="3" t="s">
        <v>16</v>
      </c>
      <c r="K736" s="3" t="s">
        <v>89</v>
      </c>
    </row>
    <row r="737" spans="1:11" x14ac:dyDescent="0.3">
      <c r="A737" s="5" t="s">
        <v>1101</v>
      </c>
      <c r="B737" s="6">
        <v>45883</v>
      </c>
      <c r="C737" s="5" t="s">
        <v>226</v>
      </c>
      <c r="D737" s="5" t="s">
        <v>55</v>
      </c>
      <c r="E737" s="5" t="s">
        <v>113</v>
      </c>
      <c r="F737" s="5" t="s">
        <v>49</v>
      </c>
      <c r="G737" s="5">
        <v>7</v>
      </c>
      <c r="H737" s="5">
        <v>12648</v>
      </c>
      <c r="I737" s="5">
        <v>88536</v>
      </c>
      <c r="J737" s="5" t="s">
        <v>16</v>
      </c>
      <c r="K737" s="5" t="s">
        <v>81</v>
      </c>
    </row>
    <row r="738" spans="1:11" x14ac:dyDescent="0.3">
      <c r="A738" s="3" t="s">
        <v>1102</v>
      </c>
      <c r="B738" s="4">
        <v>45743</v>
      </c>
      <c r="C738" s="3" t="s">
        <v>172</v>
      </c>
      <c r="D738" s="3" t="s">
        <v>59</v>
      </c>
      <c r="E738" s="3" t="s">
        <v>30</v>
      </c>
      <c r="F738" s="3" t="s">
        <v>31</v>
      </c>
      <c r="G738" s="3">
        <v>5</v>
      </c>
      <c r="H738" s="3">
        <v>840</v>
      </c>
      <c r="I738" s="3">
        <v>4200</v>
      </c>
      <c r="J738" s="3" t="s">
        <v>16</v>
      </c>
      <c r="K738" s="3" t="s">
        <v>99</v>
      </c>
    </row>
    <row r="739" spans="1:11" x14ac:dyDescent="0.3">
      <c r="A739" s="5" t="s">
        <v>1103</v>
      </c>
      <c r="B739" s="6">
        <v>45857</v>
      </c>
      <c r="C739" s="5" t="s">
        <v>332</v>
      </c>
      <c r="D739" s="5" t="s">
        <v>29</v>
      </c>
      <c r="E739" s="5" t="s">
        <v>67</v>
      </c>
      <c r="F739" s="5" t="s">
        <v>68</v>
      </c>
      <c r="G739" s="5">
        <v>9</v>
      </c>
      <c r="H739" s="5">
        <v>473</v>
      </c>
      <c r="I739" s="5">
        <v>4257</v>
      </c>
      <c r="J739" s="5" t="s">
        <v>16</v>
      </c>
      <c r="K739" s="5" t="s">
        <v>56</v>
      </c>
    </row>
    <row r="740" spans="1:11" x14ac:dyDescent="0.3">
      <c r="A740" s="3" t="s">
        <v>1104</v>
      </c>
      <c r="B740" s="4">
        <v>46005</v>
      </c>
      <c r="C740" s="3" t="s">
        <v>1105</v>
      </c>
      <c r="D740" s="3" t="s">
        <v>59</v>
      </c>
      <c r="E740" s="3" t="s">
        <v>73</v>
      </c>
      <c r="F740" s="3" t="s">
        <v>68</v>
      </c>
      <c r="G740" s="3">
        <v>5</v>
      </c>
      <c r="H740" s="3">
        <v>1302</v>
      </c>
      <c r="I740" s="3">
        <v>6510</v>
      </c>
      <c r="J740" s="3" t="s">
        <v>16</v>
      </c>
      <c r="K740" s="3" t="s">
        <v>92</v>
      </c>
    </row>
    <row r="741" spans="1:11" x14ac:dyDescent="0.3">
      <c r="A741" s="5" t="s">
        <v>1106</v>
      </c>
      <c r="B741" s="6">
        <v>45879</v>
      </c>
      <c r="C741" s="5" t="s">
        <v>1037</v>
      </c>
      <c r="D741" s="5" t="s">
        <v>13</v>
      </c>
      <c r="E741" s="5" t="s">
        <v>20</v>
      </c>
      <c r="F741" s="5" t="s">
        <v>15</v>
      </c>
      <c r="G741" s="5">
        <v>9</v>
      </c>
      <c r="H741" s="5">
        <v>56511</v>
      </c>
      <c r="I741" s="5">
        <v>508599</v>
      </c>
      <c r="J741" s="5" t="s">
        <v>128</v>
      </c>
      <c r="K741" s="5" t="s">
        <v>36</v>
      </c>
    </row>
    <row r="742" spans="1:11" x14ac:dyDescent="0.3">
      <c r="A742" s="3" t="s">
        <v>1107</v>
      </c>
      <c r="B742" s="4">
        <v>45993</v>
      </c>
      <c r="C742" s="3" t="s">
        <v>853</v>
      </c>
      <c r="D742" s="3" t="s">
        <v>13</v>
      </c>
      <c r="E742" s="3" t="s">
        <v>45</v>
      </c>
      <c r="F742" s="3" t="s">
        <v>31</v>
      </c>
      <c r="G742" s="3">
        <v>5</v>
      </c>
      <c r="H742" s="3">
        <v>1716</v>
      </c>
      <c r="I742" s="3">
        <v>8580</v>
      </c>
      <c r="J742" s="3" t="s">
        <v>16</v>
      </c>
      <c r="K742" s="3" t="s">
        <v>99</v>
      </c>
    </row>
    <row r="743" spans="1:11" x14ac:dyDescent="0.3">
      <c r="A743" s="5" t="s">
        <v>1108</v>
      </c>
      <c r="B743" s="6">
        <v>46004</v>
      </c>
      <c r="C743" s="5" t="s">
        <v>586</v>
      </c>
      <c r="D743" s="5" t="s">
        <v>29</v>
      </c>
      <c r="E743" s="5" t="s">
        <v>48</v>
      </c>
      <c r="F743" s="5" t="s">
        <v>49</v>
      </c>
      <c r="G743" s="5">
        <v>10</v>
      </c>
      <c r="H743" s="5">
        <v>9486</v>
      </c>
      <c r="I743" s="5">
        <v>94860</v>
      </c>
      <c r="J743" s="5" t="s">
        <v>16</v>
      </c>
      <c r="K743" s="5" t="s">
        <v>61</v>
      </c>
    </row>
    <row r="744" spans="1:11" x14ac:dyDescent="0.3">
      <c r="A744" s="3" t="s">
        <v>1109</v>
      </c>
      <c r="B744" s="4">
        <v>46008</v>
      </c>
      <c r="C744" s="3" t="s">
        <v>521</v>
      </c>
      <c r="D744" s="3" t="s">
        <v>29</v>
      </c>
      <c r="E744" s="3" t="s">
        <v>20</v>
      </c>
      <c r="F744" s="3" t="s">
        <v>15</v>
      </c>
      <c r="G744" s="3">
        <v>1</v>
      </c>
      <c r="H744" s="3">
        <v>54023</v>
      </c>
      <c r="I744" s="3">
        <v>54023</v>
      </c>
      <c r="J744" s="3" t="s">
        <v>16</v>
      </c>
      <c r="K744" s="3" t="s">
        <v>61</v>
      </c>
    </row>
    <row r="745" spans="1:11" x14ac:dyDescent="0.3">
      <c r="A745" s="5" t="s">
        <v>1110</v>
      </c>
      <c r="B745" s="6">
        <v>45687</v>
      </c>
      <c r="C745" s="5" t="s">
        <v>174</v>
      </c>
      <c r="D745" s="5" t="s">
        <v>59</v>
      </c>
      <c r="E745" s="5" t="s">
        <v>45</v>
      </c>
      <c r="F745" s="5" t="s">
        <v>31</v>
      </c>
      <c r="G745" s="5">
        <v>4</v>
      </c>
      <c r="H745" s="5">
        <v>1632</v>
      </c>
      <c r="I745" s="5">
        <v>6528</v>
      </c>
      <c r="J745" s="5" t="s">
        <v>16</v>
      </c>
      <c r="K745" s="5" t="s">
        <v>64</v>
      </c>
    </row>
    <row r="746" spans="1:11" x14ac:dyDescent="0.3">
      <c r="A746" s="3" t="s">
        <v>1111</v>
      </c>
      <c r="B746" s="4">
        <v>45967</v>
      </c>
      <c r="C746" s="3" t="s">
        <v>430</v>
      </c>
      <c r="D746" s="3" t="s">
        <v>55</v>
      </c>
      <c r="E746" s="3" t="s">
        <v>48</v>
      </c>
      <c r="F746" s="3" t="s">
        <v>49</v>
      </c>
      <c r="G746" s="3">
        <v>2</v>
      </c>
      <c r="H746" s="3">
        <v>9374</v>
      </c>
      <c r="I746" s="3">
        <v>18748</v>
      </c>
      <c r="J746" s="3" t="s">
        <v>16</v>
      </c>
      <c r="K746" s="3" t="s">
        <v>99</v>
      </c>
    </row>
    <row r="747" spans="1:11" x14ac:dyDescent="0.3">
      <c r="A747" s="5" t="s">
        <v>1112</v>
      </c>
      <c r="B747" s="6">
        <v>45897</v>
      </c>
      <c r="C747" s="5" t="s">
        <v>110</v>
      </c>
      <c r="D747" s="5" t="s">
        <v>13</v>
      </c>
      <c r="E747" s="5" t="s">
        <v>80</v>
      </c>
      <c r="F747" s="5" t="s">
        <v>25</v>
      </c>
      <c r="G747" s="5">
        <v>2</v>
      </c>
      <c r="H747" s="5">
        <v>2597</v>
      </c>
      <c r="I747" s="5">
        <v>5194</v>
      </c>
      <c r="J747" s="5" t="s">
        <v>16</v>
      </c>
      <c r="K747" s="5" t="s">
        <v>36</v>
      </c>
    </row>
    <row r="748" spans="1:11" x14ac:dyDescent="0.3">
      <c r="A748" s="3" t="s">
        <v>1113</v>
      </c>
      <c r="B748" s="4">
        <v>45823</v>
      </c>
      <c r="C748" s="3" t="s">
        <v>981</v>
      </c>
      <c r="D748" s="3" t="s">
        <v>59</v>
      </c>
      <c r="E748" s="3" t="s">
        <v>98</v>
      </c>
      <c r="F748" s="3" t="s">
        <v>68</v>
      </c>
      <c r="G748" s="3">
        <v>7</v>
      </c>
      <c r="H748" s="3">
        <v>1869</v>
      </c>
      <c r="I748" s="3">
        <v>13083</v>
      </c>
      <c r="J748" s="3" t="s">
        <v>16</v>
      </c>
      <c r="K748" s="3" t="s">
        <v>81</v>
      </c>
    </row>
    <row r="749" spans="1:11" x14ac:dyDescent="0.3">
      <c r="A749" s="5" t="s">
        <v>1114</v>
      </c>
      <c r="B749" s="6">
        <v>45790</v>
      </c>
      <c r="C749" s="5" t="s">
        <v>458</v>
      </c>
      <c r="D749" s="5" t="s">
        <v>55</v>
      </c>
      <c r="E749" s="5" t="s">
        <v>30</v>
      </c>
      <c r="F749" s="5" t="s">
        <v>31</v>
      </c>
      <c r="G749" s="5">
        <v>7</v>
      </c>
      <c r="H749" s="5">
        <v>782</v>
      </c>
      <c r="I749" s="5">
        <v>5474</v>
      </c>
      <c r="J749" s="5" t="s">
        <v>128</v>
      </c>
      <c r="K749" s="5" t="s">
        <v>81</v>
      </c>
    </row>
    <row r="750" spans="1:11" x14ac:dyDescent="0.3">
      <c r="A750" s="3" t="s">
        <v>1115</v>
      </c>
      <c r="B750" s="4">
        <v>45713</v>
      </c>
      <c r="C750" s="3" t="s">
        <v>54</v>
      </c>
      <c r="D750" s="3" t="s">
        <v>29</v>
      </c>
      <c r="E750" s="3" t="s">
        <v>73</v>
      </c>
      <c r="F750" s="3" t="s">
        <v>68</v>
      </c>
      <c r="G750" s="3">
        <v>10</v>
      </c>
      <c r="H750" s="3">
        <v>1174</v>
      </c>
      <c r="I750" s="3">
        <v>11740</v>
      </c>
      <c r="J750" s="3" t="s">
        <v>16</v>
      </c>
      <c r="K750" s="3" t="s">
        <v>92</v>
      </c>
    </row>
    <row r="751" spans="1:11" x14ac:dyDescent="0.3">
      <c r="A751" s="5" t="s">
        <v>1116</v>
      </c>
      <c r="B751" s="6">
        <v>45710</v>
      </c>
      <c r="C751" s="5" t="s">
        <v>1117</v>
      </c>
      <c r="D751" s="5" t="s">
        <v>55</v>
      </c>
      <c r="E751" s="5" t="s">
        <v>48</v>
      </c>
      <c r="F751" s="5" t="s">
        <v>49</v>
      </c>
      <c r="G751" s="5">
        <v>2</v>
      </c>
      <c r="H751" s="5">
        <v>9742</v>
      </c>
      <c r="I751" s="5">
        <v>19484</v>
      </c>
      <c r="J751" s="5" t="s">
        <v>16</v>
      </c>
      <c r="K751" s="5" t="s">
        <v>17</v>
      </c>
    </row>
    <row r="752" spans="1:11" x14ac:dyDescent="0.3">
      <c r="A752" s="3" t="s">
        <v>1118</v>
      </c>
      <c r="B752" s="4">
        <v>45985</v>
      </c>
      <c r="C752" s="3" t="s">
        <v>705</v>
      </c>
      <c r="D752" s="3" t="s">
        <v>59</v>
      </c>
      <c r="E752" s="3" t="s">
        <v>45</v>
      </c>
      <c r="F752" s="3" t="s">
        <v>31</v>
      </c>
      <c r="G752" s="3">
        <v>1</v>
      </c>
      <c r="H752" s="3">
        <v>1942</v>
      </c>
      <c r="I752" s="3">
        <v>1942</v>
      </c>
      <c r="J752" s="3" t="s">
        <v>16</v>
      </c>
      <c r="K752" s="3" t="s">
        <v>36</v>
      </c>
    </row>
    <row r="753" spans="1:11" x14ac:dyDescent="0.3">
      <c r="A753" s="5" t="s">
        <v>1119</v>
      </c>
      <c r="B753" s="6">
        <v>45952</v>
      </c>
      <c r="C753" s="5" t="s">
        <v>807</v>
      </c>
      <c r="D753" s="5" t="s">
        <v>59</v>
      </c>
      <c r="E753" s="5" t="s">
        <v>98</v>
      </c>
      <c r="F753" s="5" t="s">
        <v>68</v>
      </c>
      <c r="G753" s="5">
        <v>3</v>
      </c>
      <c r="H753" s="5">
        <v>1872</v>
      </c>
      <c r="I753" s="5">
        <v>5616</v>
      </c>
      <c r="J753" s="5" t="s">
        <v>35</v>
      </c>
      <c r="K753" s="5" t="s">
        <v>92</v>
      </c>
    </row>
    <row r="754" spans="1:11" x14ac:dyDescent="0.3">
      <c r="A754" s="3" t="s">
        <v>1120</v>
      </c>
      <c r="B754" s="4">
        <v>45693</v>
      </c>
      <c r="C754" s="3" t="s">
        <v>83</v>
      </c>
      <c r="D754" s="3" t="s">
        <v>13</v>
      </c>
      <c r="E754" s="3" t="s">
        <v>98</v>
      </c>
      <c r="F754" s="3" t="s">
        <v>68</v>
      </c>
      <c r="G754" s="3">
        <v>7</v>
      </c>
      <c r="H754" s="3">
        <v>1765</v>
      </c>
      <c r="I754" s="3">
        <v>12355</v>
      </c>
      <c r="J754" s="3" t="s">
        <v>16</v>
      </c>
      <c r="K754" s="3" t="s">
        <v>21</v>
      </c>
    </row>
    <row r="755" spans="1:11" x14ac:dyDescent="0.3">
      <c r="A755" s="5" t="s">
        <v>1121</v>
      </c>
      <c r="B755" s="6">
        <v>45828</v>
      </c>
      <c r="C755" s="5" t="s">
        <v>281</v>
      </c>
      <c r="D755" s="5" t="s">
        <v>59</v>
      </c>
      <c r="E755" s="5" t="s">
        <v>73</v>
      </c>
      <c r="F755" s="5" t="s">
        <v>68</v>
      </c>
      <c r="G755" s="5">
        <v>10</v>
      </c>
      <c r="H755" s="5">
        <v>1208</v>
      </c>
      <c r="I755" s="5">
        <v>12080</v>
      </c>
      <c r="J755" s="5" t="s">
        <v>128</v>
      </c>
      <c r="K755" s="5" t="s">
        <v>56</v>
      </c>
    </row>
    <row r="756" spans="1:11" x14ac:dyDescent="0.3">
      <c r="A756" s="3" t="s">
        <v>1122</v>
      </c>
      <c r="B756" s="4">
        <v>45893</v>
      </c>
      <c r="C756" s="3" t="s">
        <v>357</v>
      </c>
      <c r="D756" s="3" t="s">
        <v>29</v>
      </c>
      <c r="E756" s="3" t="s">
        <v>14</v>
      </c>
      <c r="F756" s="3" t="s">
        <v>15</v>
      </c>
      <c r="G756" s="3">
        <v>9</v>
      </c>
      <c r="H756" s="3">
        <v>3212</v>
      </c>
      <c r="I756" s="3">
        <v>28908</v>
      </c>
      <c r="J756" s="3" t="s">
        <v>16</v>
      </c>
      <c r="K756" s="3" t="s">
        <v>64</v>
      </c>
    </row>
    <row r="757" spans="1:11" x14ac:dyDescent="0.3">
      <c r="A757" s="5" t="s">
        <v>1123</v>
      </c>
      <c r="B757" s="6">
        <v>45857</v>
      </c>
      <c r="C757" s="5" t="s">
        <v>72</v>
      </c>
      <c r="D757" s="5" t="s">
        <v>59</v>
      </c>
      <c r="E757" s="5" t="s">
        <v>80</v>
      </c>
      <c r="F757" s="5" t="s">
        <v>25</v>
      </c>
      <c r="G757" s="5">
        <v>7</v>
      </c>
      <c r="H757" s="5">
        <v>2580</v>
      </c>
      <c r="I757" s="5">
        <v>18060</v>
      </c>
      <c r="J757" s="5" t="s">
        <v>16</v>
      </c>
      <c r="K757" s="5" t="s">
        <v>64</v>
      </c>
    </row>
    <row r="758" spans="1:11" x14ac:dyDescent="0.3">
      <c r="A758" s="3" t="s">
        <v>1124</v>
      </c>
      <c r="B758" s="4">
        <v>45756</v>
      </c>
      <c r="C758" s="3" t="s">
        <v>147</v>
      </c>
      <c r="D758" s="3" t="s">
        <v>13</v>
      </c>
      <c r="E758" s="3" t="s">
        <v>73</v>
      </c>
      <c r="F758" s="3" t="s">
        <v>68</v>
      </c>
      <c r="G758" s="3">
        <v>8</v>
      </c>
      <c r="H758" s="3">
        <v>1256</v>
      </c>
      <c r="I758" s="3">
        <v>10048</v>
      </c>
      <c r="J758" s="3" t="s">
        <v>16</v>
      </c>
      <c r="K758" s="3" t="s">
        <v>26</v>
      </c>
    </row>
    <row r="759" spans="1:11" x14ac:dyDescent="0.3">
      <c r="A759" s="5" t="s">
        <v>1125</v>
      </c>
      <c r="B759" s="6">
        <v>45815</v>
      </c>
      <c r="C759" s="5" t="s">
        <v>260</v>
      </c>
      <c r="D759" s="5" t="s">
        <v>55</v>
      </c>
      <c r="E759" s="5" t="s">
        <v>113</v>
      </c>
      <c r="F759" s="5" t="s">
        <v>49</v>
      </c>
      <c r="G759" s="5">
        <v>7</v>
      </c>
      <c r="H759" s="5">
        <v>10951</v>
      </c>
      <c r="I759" s="5">
        <v>76657</v>
      </c>
      <c r="J759" s="5" t="s">
        <v>16</v>
      </c>
      <c r="K759" s="5" t="s">
        <v>92</v>
      </c>
    </row>
    <row r="760" spans="1:11" x14ac:dyDescent="0.3">
      <c r="A760" s="3" t="s">
        <v>1126</v>
      </c>
      <c r="B760" s="4">
        <v>45679</v>
      </c>
      <c r="C760" s="3" t="s">
        <v>447</v>
      </c>
      <c r="D760" s="3" t="s">
        <v>55</v>
      </c>
      <c r="E760" s="3" t="s">
        <v>73</v>
      </c>
      <c r="F760" s="3" t="s">
        <v>68</v>
      </c>
      <c r="G760" s="3">
        <v>1</v>
      </c>
      <c r="H760" s="3">
        <v>1161</v>
      </c>
      <c r="I760" s="3">
        <v>1161</v>
      </c>
      <c r="J760" s="3" t="s">
        <v>16</v>
      </c>
      <c r="K760" s="3" t="s">
        <v>17</v>
      </c>
    </row>
    <row r="761" spans="1:11" x14ac:dyDescent="0.3">
      <c r="A761" s="5" t="s">
        <v>1127</v>
      </c>
      <c r="B761" s="6">
        <v>45694</v>
      </c>
      <c r="C761" s="5" t="s">
        <v>1128</v>
      </c>
      <c r="D761" s="5" t="s">
        <v>59</v>
      </c>
      <c r="E761" s="5" t="s">
        <v>24</v>
      </c>
      <c r="F761" s="5" t="s">
        <v>25</v>
      </c>
      <c r="G761" s="5">
        <v>9</v>
      </c>
      <c r="H761" s="5">
        <v>1115</v>
      </c>
      <c r="I761" s="5">
        <v>10035</v>
      </c>
      <c r="J761" s="5" t="s">
        <v>16</v>
      </c>
      <c r="K761" s="5" t="s">
        <v>26</v>
      </c>
    </row>
    <row r="762" spans="1:11" x14ac:dyDescent="0.3">
      <c r="A762" s="3" t="s">
        <v>1129</v>
      </c>
      <c r="B762" s="4">
        <v>45724</v>
      </c>
      <c r="C762" s="3" t="s">
        <v>224</v>
      </c>
      <c r="D762" s="3" t="s">
        <v>59</v>
      </c>
      <c r="E762" s="3" t="s">
        <v>116</v>
      </c>
      <c r="F762" s="3" t="s">
        <v>15</v>
      </c>
      <c r="G762" s="3">
        <v>10</v>
      </c>
      <c r="H762" s="3">
        <v>7273</v>
      </c>
      <c r="I762" s="3">
        <v>72730</v>
      </c>
      <c r="J762" s="3" t="s">
        <v>16</v>
      </c>
      <c r="K762" s="3" t="s">
        <v>81</v>
      </c>
    </row>
    <row r="763" spans="1:11" x14ac:dyDescent="0.3">
      <c r="A763" s="5" t="s">
        <v>1130</v>
      </c>
      <c r="B763" s="6">
        <v>45690</v>
      </c>
      <c r="C763" s="5" t="s">
        <v>72</v>
      </c>
      <c r="D763" s="5" t="s">
        <v>13</v>
      </c>
      <c r="E763" s="5" t="s">
        <v>30</v>
      </c>
      <c r="F763" s="5" t="s">
        <v>31</v>
      </c>
      <c r="G763" s="5">
        <v>8</v>
      </c>
      <c r="H763" s="5">
        <v>817</v>
      </c>
      <c r="I763" s="5">
        <v>6536</v>
      </c>
      <c r="J763" s="5" t="s">
        <v>35</v>
      </c>
      <c r="K763" s="5" t="s">
        <v>17</v>
      </c>
    </row>
    <row r="764" spans="1:11" x14ac:dyDescent="0.3">
      <c r="A764" s="3" t="s">
        <v>1131</v>
      </c>
      <c r="B764" s="4">
        <v>46005</v>
      </c>
      <c r="C764" s="3" t="s">
        <v>496</v>
      </c>
      <c r="D764" s="3" t="s">
        <v>29</v>
      </c>
      <c r="E764" s="3" t="s">
        <v>80</v>
      </c>
      <c r="F764" s="3" t="s">
        <v>25</v>
      </c>
      <c r="G764" s="3">
        <v>2</v>
      </c>
      <c r="H764" s="3">
        <v>2652</v>
      </c>
      <c r="I764" s="3">
        <v>5304</v>
      </c>
      <c r="J764" s="3" t="s">
        <v>16</v>
      </c>
      <c r="K764" s="3" t="s">
        <v>61</v>
      </c>
    </row>
    <row r="765" spans="1:11" x14ac:dyDescent="0.3">
      <c r="A765" s="5" t="s">
        <v>1132</v>
      </c>
      <c r="B765" s="6">
        <v>45767</v>
      </c>
      <c r="C765" s="5" t="s">
        <v>443</v>
      </c>
      <c r="D765" s="5" t="s">
        <v>59</v>
      </c>
      <c r="E765" s="5" t="s">
        <v>60</v>
      </c>
      <c r="F765" s="5" t="s">
        <v>25</v>
      </c>
      <c r="G765" s="5">
        <v>3</v>
      </c>
      <c r="H765" s="5">
        <v>1446</v>
      </c>
      <c r="I765" s="5">
        <v>4338</v>
      </c>
      <c r="J765" s="5" t="s">
        <v>128</v>
      </c>
      <c r="K765" s="5" t="s">
        <v>89</v>
      </c>
    </row>
    <row r="766" spans="1:11" x14ac:dyDescent="0.3">
      <c r="A766" s="3" t="s">
        <v>1133</v>
      </c>
      <c r="B766" s="4">
        <v>46014</v>
      </c>
      <c r="C766" s="3" t="s">
        <v>1082</v>
      </c>
      <c r="D766" s="3" t="s">
        <v>59</v>
      </c>
      <c r="E766" s="3" t="s">
        <v>20</v>
      </c>
      <c r="F766" s="3" t="s">
        <v>15</v>
      </c>
      <c r="G766" s="3">
        <v>5</v>
      </c>
      <c r="H766" s="3">
        <v>51053</v>
      </c>
      <c r="I766" s="3">
        <v>255265</v>
      </c>
      <c r="J766" s="3" t="s">
        <v>16</v>
      </c>
      <c r="K766" s="3" t="s">
        <v>92</v>
      </c>
    </row>
    <row r="767" spans="1:11" x14ac:dyDescent="0.3">
      <c r="A767" s="5" t="s">
        <v>1134</v>
      </c>
      <c r="B767" s="6">
        <v>45981</v>
      </c>
      <c r="C767" s="5" t="s">
        <v>1135</v>
      </c>
      <c r="D767" s="5" t="s">
        <v>59</v>
      </c>
      <c r="E767" s="5" t="s">
        <v>48</v>
      </c>
      <c r="F767" s="5" t="s">
        <v>49</v>
      </c>
      <c r="G767" s="5">
        <v>1</v>
      </c>
      <c r="H767" s="5">
        <v>8340</v>
      </c>
      <c r="I767" s="5">
        <v>8340</v>
      </c>
      <c r="J767" s="5" t="s">
        <v>16</v>
      </c>
      <c r="K767" s="5" t="s">
        <v>99</v>
      </c>
    </row>
    <row r="768" spans="1:11" x14ac:dyDescent="0.3">
      <c r="A768" s="3" t="s">
        <v>1136</v>
      </c>
      <c r="B768" s="4">
        <v>45703</v>
      </c>
      <c r="C768" s="3" t="s">
        <v>208</v>
      </c>
      <c r="D768" s="3" t="s">
        <v>55</v>
      </c>
      <c r="E768" s="3" t="s">
        <v>116</v>
      </c>
      <c r="F768" s="3" t="s">
        <v>15</v>
      </c>
      <c r="G768" s="3">
        <v>2</v>
      </c>
      <c r="H768" s="3">
        <v>7210</v>
      </c>
      <c r="I768" s="3">
        <v>14420</v>
      </c>
      <c r="J768" s="3" t="s">
        <v>16</v>
      </c>
      <c r="K768" s="3" t="s">
        <v>89</v>
      </c>
    </row>
    <row r="769" spans="1:11" x14ac:dyDescent="0.3">
      <c r="A769" s="5" t="s">
        <v>1137</v>
      </c>
      <c r="B769" s="6">
        <v>45985</v>
      </c>
      <c r="C769" s="5" t="s">
        <v>569</v>
      </c>
      <c r="D769" s="5" t="s">
        <v>55</v>
      </c>
      <c r="E769" s="5" t="s">
        <v>67</v>
      </c>
      <c r="F769" s="5" t="s">
        <v>68</v>
      </c>
      <c r="G769" s="5">
        <v>8</v>
      </c>
      <c r="H769" s="5">
        <v>519</v>
      </c>
      <c r="I769" s="5">
        <v>4152</v>
      </c>
      <c r="J769" s="5" t="s">
        <v>16</v>
      </c>
      <c r="K769" s="5" t="s">
        <v>92</v>
      </c>
    </row>
    <row r="770" spans="1:11" x14ac:dyDescent="0.3">
      <c r="A770" s="3" t="s">
        <v>1138</v>
      </c>
      <c r="B770" s="4">
        <v>45913</v>
      </c>
      <c r="C770" s="3" t="s">
        <v>1135</v>
      </c>
      <c r="D770" s="3" t="s">
        <v>29</v>
      </c>
      <c r="E770" s="3" t="s">
        <v>108</v>
      </c>
      <c r="F770" s="3" t="s">
        <v>49</v>
      </c>
      <c r="G770" s="3">
        <v>10</v>
      </c>
      <c r="H770" s="3">
        <v>7268</v>
      </c>
      <c r="I770" s="3">
        <v>72680</v>
      </c>
      <c r="J770" s="3" t="s">
        <v>16</v>
      </c>
      <c r="K770" s="3" t="s">
        <v>17</v>
      </c>
    </row>
    <row r="771" spans="1:11" x14ac:dyDescent="0.3">
      <c r="A771" s="5" t="s">
        <v>1139</v>
      </c>
      <c r="B771" s="6">
        <v>45718</v>
      </c>
      <c r="C771" s="5" t="s">
        <v>75</v>
      </c>
      <c r="D771" s="5" t="s">
        <v>13</v>
      </c>
      <c r="E771" s="5" t="s">
        <v>45</v>
      </c>
      <c r="F771" s="5" t="s">
        <v>31</v>
      </c>
      <c r="G771" s="5">
        <v>7</v>
      </c>
      <c r="H771" s="5">
        <v>1621</v>
      </c>
      <c r="I771" s="5">
        <v>11347</v>
      </c>
      <c r="J771" s="5" t="s">
        <v>16</v>
      </c>
      <c r="K771" s="5" t="s">
        <v>17</v>
      </c>
    </row>
    <row r="772" spans="1:11" x14ac:dyDescent="0.3">
      <c r="A772" s="3" t="s">
        <v>1140</v>
      </c>
      <c r="B772" s="4">
        <v>45764</v>
      </c>
      <c r="C772" s="3" t="s">
        <v>263</v>
      </c>
      <c r="D772" s="3" t="s">
        <v>13</v>
      </c>
      <c r="E772" s="3" t="s">
        <v>60</v>
      </c>
      <c r="F772" s="3" t="s">
        <v>25</v>
      </c>
      <c r="G772" s="3">
        <v>4</v>
      </c>
      <c r="H772" s="3">
        <v>1489</v>
      </c>
      <c r="I772" s="3">
        <v>5956</v>
      </c>
      <c r="J772" s="3" t="s">
        <v>16</v>
      </c>
      <c r="K772" s="3" t="s">
        <v>39</v>
      </c>
    </row>
    <row r="773" spans="1:11" x14ac:dyDescent="0.3">
      <c r="A773" s="5" t="s">
        <v>1141</v>
      </c>
      <c r="B773" s="6">
        <v>45680</v>
      </c>
      <c r="C773" s="5" t="s">
        <v>230</v>
      </c>
      <c r="D773" s="5" t="s">
        <v>59</v>
      </c>
      <c r="E773" s="5" t="s">
        <v>48</v>
      </c>
      <c r="F773" s="5" t="s">
        <v>49</v>
      </c>
      <c r="G773" s="5">
        <v>8</v>
      </c>
      <c r="H773" s="5">
        <v>8995</v>
      </c>
      <c r="I773" s="5">
        <v>71960</v>
      </c>
      <c r="J773" s="5" t="s">
        <v>16</v>
      </c>
      <c r="K773" s="5" t="s">
        <v>64</v>
      </c>
    </row>
    <row r="774" spans="1:11" x14ac:dyDescent="0.3">
      <c r="A774" s="3" t="s">
        <v>1142</v>
      </c>
      <c r="B774" s="4">
        <v>45890</v>
      </c>
      <c r="C774" s="3" t="s">
        <v>133</v>
      </c>
      <c r="D774" s="3" t="s">
        <v>29</v>
      </c>
      <c r="E774" s="3" t="s">
        <v>113</v>
      </c>
      <c r="F774" s="3" t="s">
        <v>49</v>
      </c>
      <c r="G774" s="3">
        <v>5</v>
      </c>
      <c r="H774" s="3">
        <v>11602</v>
      </c>
      <c r="I774" s="3">
        <v>58010</v>
      </c>
      <c r="J774" s="3" t="s">
        <v>35</v>
      </c>
      <c r="K774" s="3" t="s">
        <v>17</v>
      </c>
    </row>
    <row r="775" spans="1:11" x14ac:dyDescent="0.3">
      <c r="A775" s="5" t="s">
        <v>1143</v>
      </c>
      <c r="B775" s="6">
        <v>45717</v>
      </c>
      <c r="C775" s="5" t="s">
        <v>91</v>
      </c>
      <c r="D775" s="5" t="s">
        <v>13</v>
      </c>
      <c r="E775" s="5" t="s">
        <v>80</v>
      </c>
      <c r="F775" s="5" t="s">
        <v>25</v>
      </c>
      <c r="G775" s="5">
        <v>3</v>
      </c>
      <c r="H775" s="5">
        <v>2642</v>
      </c>
      <c r="I775" s="5">
        <v>7926</v>
      </c>
      <c r="J775" s="5" t="s">
        <v>16</v>
      </c>
      <c r="K775" s="5" t="s">
        <v>36</v>
      </c>
    </row>
    <row r="776" spans="1:11" x14ac:dyDescent="0.3">
      <c r="A776" s="3" t="s">
        <v>1144</v>
      </c>
      <c r="B776" s="4">
        <v>46004</v>
      </c>
      <c r="C776" s="3" t="s">
        <v>279</v>
      </c>
      <c r="D776" s="3" t="s">
        <v>59</v>
      </c>
      <c r="E776" s="3" t="s">
        <v>67</v>
      </c>
      <c r="F776" s="3" t="s">
        <v>68</v>
      </c>
      <c r="G776" s="3">
        <v>10</v>
      </c>
      <c r="H776" s="3">
        <v>482</v>
      </c>
      <c r="I776" s="3">
        <v>4820</v>
      </c>
      <c r="J776" s="3" t="s">
        <v>16</v>
      </c>
      <c r="K776" s="3" t="s">
        <v>21</v>
      </c>
    </row>
    <row r="777" spans="1:11" x14ac:dyDescent="0.3">
      <c r="A777" s="5" t="s">
        <v>1145</v>
      </c>
      <c r="B777" s="6">
        <v>45760</v>
      </c>
      <c r="C777" s="5" t="s">
        <v>380</v>
      </c>
      <c r="D777" s="5" t="s">
        <v>55</v>
      </c>
      <c r="E777" s="5" t="s">
        <v>30</v>
      </c>
      <c r="F777" s="5" t="s">
        <v>31</v>
      </c>
      <c r="G777" s="5">
        <v>2</v>
      </c>
      <c r="H777" s="5">
        <v>757</v>
      </c>
      <c r="I777" s="5">
        <v>1514</v>
      </c>
      <c r="J777" s="5" t="s">
        <v>16</v>
      </c>
      <c r="K777" s="5" t="s">
        <v>36</v>
      </c>
    </row>
    <row r="778" spans="1:11" x14ac:dyDescent="0.3">
      <c r="A778" s="3" t="s">
        <v>1146</v>
      </c>
      <c r="B778" s="4">
        <v>45768</v>
      </c>
      <c r="C778" s="3" t="s">
        <v>1037</v>
      </c>
      <c r="D778" s="3" t="s">
        <v>59</v>
      </c>
      <c r="E778" s="3" t="s">
        <v>67</v>
      </c>
      <c r="F778" s="3" t="s">
        <v>68</v>
      </c>
      <c r="G778" s="3">
        <v>8</v>
      </c>
      <c r="H778" s="3">
        <v>455</v>
      </c>
      <c r="I778" s="3">
        <v>3640</v>
      </c>
      <c r="J778" s="3" t="s">
        <v>16</v>
      </c>
      <c r="K778" s="3" t="s">
        <v>95</v>
      </c>
    </row>
    <row r="779" spans="1:11" x14ac:dyDescent="0.3">
      <c r="A779" s="5" t="s">
        <v>1147</v>
      </c>
      <c r="B779" s="6">
        <v>45796</v>
      </c>
      <c r="C779" s="5" t="s">
        <v>730</v>
      </c>
      <c r="D779" s="5" t="s">
        <v>59</v>
      </c>
      <c r="E779" s="5" t="s">
        <v>30</v>
      </c>
      <c r="F779" s="5" t="s">
        <v>31</v>
      </c>
      <c r="G779" s="5">
        <v>8</v>
      </c>
      <c r="H779" s="5">
        <v>835</v>
      </c>
      <c r="I779" s="5">
        <v>6680</v>
      </c>
      <c r="J779" s="5" t="s">
        <v>16</v>
      </c>
      <c r="K779" s="5" t="s">
        <v>61</v>
      </c>
    </row>
    <row r="780" spans="1:11" x14ac:dyDescent="0.3">
      <c r="A780" s="3" t="s">
        <v>1148</v>
      </c>
      <c r="B780" s="4">
        <v>45892</v>
      </c>
      <c r="C780" s="3" t="s">
        <v>185</v>
      </c>
      <c r="D780" s="3" t="s">
        <v>59</v>
      </c>
      <c r="E780" s="3" t="s">
        <v>80</v>
      </c>
      <c r="F780" s="3" t="s">
        <v>25</v>
      </c>
      <c r="G780" s="3">
        <v>5</v>
      </c>
      <c r="H780" s="3">
        <v>2318</v>
      </c>
      <c r="I780" s="3">
        <v>11590</v>
      </c>
      <c r="J780" s="3" t="s">
        <v>16</v>
      </c>
      <c r="K780" s="3" t="s">
        <v>81</v>
      </c>
    </row>
    <row r="781" spans="1:11" x14ac:dyDescent="0.3">
      <c r="A781" s="5" t="s">
        <v>1149</v>
      </c>
      <c r="B781" s="6">
        <v>45971</v>
      </c>
      <c r="C781" s="5" t="s">
        <v>876</v>
      </c>
      <c r="D781" s="5" t="s">
        <v>55</v>
      </c>
      <c r="E781" s="5" t="s">
        <v>113</v>
      </c>
      <c r="F781" s="5" t="s">
        <v>49</v>
      </c>
      <c r="G781" s="5">
        <v>10</v>
      </c>
      <c r="H781" s="5">
        <v>11176</v>
      </c>
      <c r="I781" s="5">
        <v>111760</v>
      </c>
      <c r="J781" s="5" t="s">
        <v>16</v>
      </c>
      <c r="K781" s="5" t="s">
        <v>89</v>
      </c>
    </row>
    <row r="782" spans="1:11" x14ac:dyDescent="0.3">
      <c r="A782" s="3" t="s">
        <v>1150</v>
      </c>
      <c r="B782" s="4">
        <v>45768</v>
      </c>
      <c r="C782" s="3" t="s">
        <v>269</v>
      </c>
      <c r="D782" s="3" t="s">
        <v>55</v>
      </c>
      <c r="E782" s="3" t="s">
        <v>108</v>
      </c>
      <c r="F782" s="3" t="s">
        <v>49</v>
      </c>
      <c r="G782" s="3">
        <v>7</v>
      </c>
      <c r="H782" s="3">
        <v>7499</v>
      </c>
      <c r="I782" s="3">
        <v>52493</v>
      </c>
      <c r="J782" s="3" t="s">
        <v>16</v>
      </c>
      <c r="K782" s="3" t="s">
        <v>95</v>
      </c>
    </row>
    <row r="783" spans="1:11" x14ac:dyDescent="0.3">
      <c r="A783" s="5" t="s">
        <v>1151</v>
      </c>
      <c r="B783" s="6">
        <v>45825</v>
      </c>
      <c r="C783" s="5" t="s">
        <v>1152</v>
      </c>
      <c r="D783" s="5" t="s">
        <v>55</v>
      </c>
      <c r="E783" s="5" t="s">
        <v>30</v>
      </c>
      <c r="F783" s="5" t="s">
        <v>31</v>
      </c>
      <c r="G783" s="5">
        <v>7</v>
      </c>
      <c r="H783" s="5">
        <v>837</v>
      </c>
      <c r="I783" s="5">
        <v>5859</v>
      </c>
      <c r="J783" s="5" t="s">
        <v>16</v>
      </c>
      <c r="K783" s="5" t="s">
        <v>89</v>
      </c>
    </row>
    <row r="784" spans="1:11" x14ac:dyDescent="0.3">
      <c r="A784" s="3" t="s">
        <v>1153</v>
      </c>
      <c r="B784" s="4">
        <v>45680</v>
      </c>
      <c r="C784" s="3" t="s">
        <v>1154</v>
      </c>
      <c r="D784" s="3" t="s">
        <v>59</v>
      </c>
      <c r="E784" s="3" t="s">
        <v>80</v>
      </c>
      <c r="F784" s="3" t="s">
        <v>25</v>
      </c>
      <c r="G784" s="3">
        <v>10</v>
      </c>
      <c r="H784" s="3">
        <v>2699</v>
      </c>
      <c r="I784" s="3">
        <v>26990</v>
      </c>
      <c r="J784" s="3" t="s">
        <v>16</v>
      </c>
      <c r="K784" s="3" t="s">
        <v>95</v>
      </c>
    </row>
    <row r="785" spans="1:11" x14ac:dyDescent="0.3">
      <c r="A785" s="5" t="s">
        <v>1155</v>
      </c>
      <c r="B785" s="6">
        <v>46014</v>
      </c>
      <c r="C785" s="5" t="s">
        <v>277</v>
      </c>
      <c r="D785" s="5" t="s">
        <v>13</v>
      </c>
      <c r="E785" s="5" t="s">
        <v>80</v>
      </c>
      <c r="F785" s="5" t="s">
        <v>25</v>
      </c>
      <c r="G785" s="5">
        <v>7</v>
      </c>
      <c r="H785" s="5">
        <v>2515</v>
      </c>
      <c r="I785" s="5">
        <v>17605</v>
      </c>
      <c r="J785" s="5" t="s">
        <v>16</v>
      </c>
      <c r="K785" s="5" t="s">
        <v>95</v>
      </c>
    </row>
    <row r="786" spans="1:11" x14ac:dyDescent="0.3">
      <c r="A786" s="3" t="s">
        <v>1156</v>
      </c>
      <c r="B786" s="4">
        <v>45809</v>
      </c>
      <c r="C786" s="3" t="s">
        <v>77</v>
      </c>
      <c r="D786" s="3" t="s">
        <v>29</v>
      </c>
      <c r="E786" s="3" t="s">
        <v>20</v>
      </c>
      <c r="F786" s="3" t="s">
        <v>15</v>
      </c>
      <c r="G786" s="3">
        <v>7</v>
      </c>
      <c r="H786" s="3">
        <v>59949</v>
      </c>
      <c r="I786" s="3">
        <v>419643</v>
      </c>
      <c r="J786" s="3" t="s">
        <v>16</v>
      </c>
      <c r="K786" s="3" t="s">
        <v>64</v>
      </c>
    </row>
    <row r="787" spans="1:11" x14ac:dyDescent="0.3">
      <c r="A787" s="5" t="s">
        <v>1157</v>
      </c>
      <c r="B787" s="6">
        <v>45950</v>
      </c>
      <c r="C787" s="5" t="s">
        <v>1158</v>
      </c>
      <c r="D787" s="5" t="s">
        <v>55</v>
      </c>
      <c r="E787" s="5" t="s">
        <v>116</v>
      </c>
      <c r="F787" s="5" t="s">
        <v>15</v>
      </c>
      <c r="G787" s="5">
        <v>5</v>
      </c>
      <c r="H787" s="5">
        <v>7458</v>
      </c>
      <c r="I787" s="5">
        <v>37290</v>
      </c>
      <c r="J787" s="5" t="s">
        <v>16</v>
      </c>
      <c r="K787" s="5" t="s">
        <v>39</v>
      </c>
    </row>
    <row r="788" spans="1:11" x14ac:dyDescent="0.3">
      <c r="A788" s="3" t="s">
        <v>1159</v>
      </c>
      <c r="B788" s="4">
        <v>45978</v>
      </c>
      <c r="C788" s="3" t="s">
        <v>172</v>
      </c>
      <c r="D788" s="3" t="s">
        <v>55</v>
      </c>
      <c r="E788" s="3" t="s">
        <v>73</v>
      </c>
      <c r="F788" s="3" t="s">
        <v>68</v>
      </c>
      <c r="G788" s="3">
        <v>7</v>
      </c>
      <c r="H788" s="3">
        <v>1124</v>
      </c>
      <c r="I788" s="3">
        <v>7868</v>
      </c>
      <c r="J788" s="3" t="s">
        <v>16</v>
      </c>
      <c r="K788" s="3" t="s">
        <v>26</v>
      </c>
    </row>
    <row r="789" spans="1:11" x14ac:dyDescent="0.3">
      <c r="A789" s="5" t="s">
        <v>1160</v>
      </c>
      <c r="B789" s="6">
        <v>45796</v>
      </c>
      <c r="C789" s="5" t="s">
        <v>1135</v>
      </c>
      <c r="D789" s="5" t="s">
        <v>13</v>
      </c>
      <c r="E789" s="5" t="s">
        <v>116</v>
      </c>
      <c r="F789" s="5" t="s">
        <v>15</v>
      </c>
      <c r="G789" s="5">
        <v>6</v>
      </c>
      <c r="H789" s="5">
        <v>8049</v>
      </c>
      <c r="I789" s="5">
        <v>48294</v>
      </c>
      <c r="J789" s="5" t="s">
        <v>16</v>
      </c>
      <c r="K789" s="5" t="s">
        <v>92</v>
      </c>
    </row>
    <row r="790" spans="1:11" x14ac:dyDescent="0.3">
      <c r="A790" s="3" t="s">
        <v>1161</v>
      </c>
      <c r="B790" s="4">
        <v>45686</v>
      </c>
      <c r="C790" s="3" t="s">
        <v>450</v>
      </c>
      <c r="D790" s="3" t="s">
        <v>13</v>
      </c>
      <c r="E790" s="3" t="s">
        <v>48</v>
      </c>
      <c r="F790" s="3" t="s">
        <v>49</v>
      </c>
      <c r="G790" s="3">
        <v>2</v>
      </c>
      <c r="H790" s="3">
        <v>9216</v>
      </c>
      <c r="I790" s="3">
        <v>18432</v>
      </c>
      <c r="J790" s="3" t="s">
        <v>16</v>
      </c>
      <c r="K790" s="3" t="s">
        <v>36</v>
      </c>
    </row>
    <row r="791" spans="1:11" x14ac:dyDescent="0.3">
      <c r="A791" s="5" t="s">
        <v>1162</v>
      </c>
      <c r="B791" s="6">
        <v>45845</v>
      </c>
      <c r="C791" s="5" t="s">
        <v>420</v>
      </c>
      <c r="D791" s="5" t="s">
        <v>13</v>
      </c>
      <c r="E791" s="5" t="s">
        <v>20</v>
      </c>
      <c r="F791" s="5" t="s">
        <v>15</v>
      </c>
      <c r="G791" s="5">
        <v>7</v>
      </c>
      <c r="H791" s="5">
        <v>53521</v>
      </c>
      <c r="I791" s="5">
        <v>374647</v>
      </c>
      <c r="J791" s="5" t="s">
        <v>16</v>
      </c>
      <c r="K791" s="5" t="s">
        <v>81</v>
      </c>
    </row>
    <row r="792" spans="1:11" x14ac:dyDescent="0.3">
      <c r="A792" s="3" t="s">
        <v>1163</v>
      </c>
      <c r="B792" s="4">
        <v>45716</v>
      </c>
      <c r="C792" s="3" t="s">
        <v>396</v>
      </c>
      <c r="D792" s="3" t="s">
        <v>13</v>
      </c>
      <c r="E792" s="3" t="s">
        <v>52</v>
      </c>
      <c r="F792" s="3" t="s">
        <v>15</v>
      </c>
      <c r="G792" s="3">
        <v>3</v>
      </c>
      <c r="H792" s="3">
        <v>27406</v>
      </c>
      <c r="I792" s="3">
        <v>82218</v>
      </c>
      <c r="J792" s="3" t="s">
        <v>16</v>
      </c>
      <c r="K792" s="3" t="s">
        <v>95</v>
      </c>
    </row>
    <row r="793" spans="1:11" x14ac:dyDescent="0.3">
      <c r="A793" s="5" t="s">
        <v>1164</v>
      </c>
      <c r="B793" s="6">
        <v>45822</v>
      </c>
      <c r="C793" s="5" t="s">
        <v>1165</v>
      </c>
      <c r="D793" s="5" t="s">
        <v>13</v>
      </c>
      <c r="E793" s="5" t="s">
        <v>60</v>
      </c>
      <c r="F793" s="5" t="s">
        <v>25</v>
      </c>
      <c r="G793" s="5">
        <v>4</v>
      </c>
      <c r="H793" s="5">
        <v>1575</v>
      </c>
      <c r="I793" s="5">
        <v>6300</v>
      </c>
      <c r="J793" s="5" t="s">
        <v>16</v>
      </c>
      <c r="K793" s="5" t="s">
        <v>36</v>
      </c>
    </row>
    <row r="794" spans="1:11" x14ac:dyDescent="0.3">
      <c r="A794" s="3" t="s">
        <v>1166</v>
      </c>
      <c r="B794" s="4">
        <v>45906</v>
      </c>
      <c r="C794" s="3" t="s">
        <v>562</v>
      </c>
      <c r="D794" s="3" t="s">
        <v>59</v>
      </c>
      <c r="E794" s="3" t="s">
        <v>98</v>
      </c>
      <c r="F794" s="3" t="s">
        <v>68</v>
      </c>
      <c r="G794" s="3">
        <v>1</v>
      </c>
      <c r="H794" s="3">
        <v>1642</v>
      </c>
      <c r="I794" s="3">
        <v>1642</v>
      </c>
      <c r="J794" s="3" t="s">
        <v>16</v>
      </c>
      <c r="K794" s="3" t="s">
        <v>92</v>
      </c>
    </row>
    <row r="795" spans="1:11" x14ac:dyDescent="0.3">
      <c r="A795" s="5" t="s">
        <v>1167</v>
      </c>
      <c r="B795" s="6">
        <v>45807</v>
      </c>
      <c r="C795" s="5" t="s">
        <v>425</v>
      </c>
      <c r="D795" s="5" t="s">
        <v>55</v>
      </c>
      <c r="E795" s="5" t="s">
        <v>67</v>
      </c>
      <c r="F795" s="5" t="s">
        <v>68</v>
      </c>
      <c r="G795" s="5">
        <v>9</v>
      </c>
      <c r="H795" s="5">
        <v>517</v>
      </c>
      <c r="I795" s="5">
        <v>4653</v>
      </c>
      <c r="J795" s="5" t="s">
        <v>16</v>
      </c>
      <c r="K795" s="5" t="s">
        <v>89</v>
      </c>
    </row>
    <row r="796" spans="1:11" x14ac:dyDescent="0.3">
      <c r="A796" s="3" t="s">
        <v>1168</v>
      </c>
      <c r="B796" s="4">
        <v>45749</v>
      </c>
      <c r="C796" s="3" t="s">
        <v>285</v>
      </c>
      <c r="D796" s="3" t="s">
        <v>29</v>
      </c>
      <c r="E796" s="3" t="s">
        <v>52</v>
      </c>
      <c r="F796" s="3" t="s">
        <v>15</v>
      </c>
      <c r="G796" s="3">
        <v>8</v>
      </c>
      <c r="H796" s="3">
        <v>22936</v>
      </c>
      <c r="I796" s="3">
        <v>183488</v>
      </c>
      <c r="J796" s="3" t="s">
        <v>16</v>
      </c>
      <c r="K796" s="3" t="s">
        <v>17</v>
      </c>
    </row>
    <row r="797" spans="1:11" x14ac:dyDescent="0.3">
      <c r="A797" s="5" t="s">
        <v>1169</v>
      </c>
      <c r="B797" s="6">
        <v>45924</v>
      </c>
      <c r="C797" s="5" t="s">
        <v>1170</v>
      </c>
      <c r="D797" s="5" t="s">
        <v>59</v>
      </c>
      <c r="E797" s="5" t="s">
        <v>30</v>
      </c>
      <c r="F797" s="5" t="s">
        <v>31</v>
      </c>
      <c r="G797" s="5">
        <v>3</v>
      </c>
      <c r="H797" s="5">
        <v>799</v>
      </c>
      <c r="I797" s="5">
        <v>2397</v>
      </c>
      <c r="J797" s="5" t="s">
        <v>16</v>
      </c>
      <c r="K797" s="5" t="s">
        <v>39</v>
      </c>
    </row>
    <row r="798" spans="1:11" x14ac:dyDescent="0.3">
      <c r="A798" s="3" t="s">
        <v>1171</v>
      </c>
      <c r="B798" s="4">
        <v>45988</v>
      </c>
      <c r="C798" s="3" t="s">
        <v>183</v>
      </c>
      <c r="D798" s="3" t="s">
        <v>59</v>
      </c>
      <c r="E798" s="3" t="s">
        <v>80</v>
      </c>
      <c r="F798" s="3" t="s">
        <v>25</v>
      </c>
      <c r="G798" s="3">
        <v>8</v>
      </c>
      <c r="H798" s="3">
        <v>2423</v>
      </c>
      <c r="I798" s="3">
        <v>19384</v>
      </c>
      <c r="J798" s="3" t="s">
        <v>16</v>
      </c>
      <c r="K798" s="3" t="s">
        <v>56</v>
      </c>
    </row>
    <row r="799" spans="1:11" x14ac:dyDescent="0.3">
      <c r="A799" s="5" t="s">
        <v>1172</v>
      </c>
      <c r="B799" s="6">
        <v>45833</v>
      </c>
      <c r="C799" s="5" t="s">
        <v>162</v>
      </c>
      <c r="D799" s="5" t="s">
        <v>59</v>
      </c>
      <c r="E799" s="5" t="s">
        <v>52</v>
      </c>
      <c r="F799" s="5" t="s">
        <v>15</v>
      </c>
      <c r="G799" s="5">
        <v>9</v>
      </c>
      <c r="H799" s="5">
        <v>25723</v>
      </c>
      <c r="I799" s="5">
        <v>231507</v>
      </c>
      <c r="J799" s="5" t="s">
        <v>16</v>
      </c>
      <c r="K799" s="5" t="s">
        <v>64</v>
      </c>
    </row>
    <row r="800" spans="1:11" x14ac:dyDescent="0.3">
      <c r="A800" s="3" t="s">
        <v>1173</v>
      </c>
      <c r="B800" s="4">
        <v>45813</v>
      </c>
      <c r="C800" s="3" t="s">
        <v>344</v>
      </c>
      <c r="D800" s="3" t="s">
        <v>55</v>
      </c>
      <c r="E800" s="3" t="s">
        <v>67</v>
      </c>
      <c r="F800" s="3" t="s">
        <v>68</v>
      </c>
      <c r="G800" s="3">
        <v>9</v>
      </c>
      <c r="H800" s="3">
        <v>534</v>
      </c>
      <c r="I800" s="3">
        <v>4806</v>
      </c>
      <c r="J800" s="3" t="s">
        <v>16</v>
      </c>
      <c r="K800" s="3" t="s">
        <v>81</v>
      </c>
    </row>
    <row r="801" spans="1:11" x14ac:dyDescent="0.3">
      <c r="A801" s="5" t="s">
        <v>1174</v>
      </c>
      <c r="B801" s="6">
        <v>45805</v>
      </c>
      <c r="C801" s="5" t="s">
        <v>1175</v>
      </c>
      <c r="D801" s="5" t="s">
        <v>55</v>
      </c>
      <c r="E801" s="5" t="s">
        <v>30</v>
      </c>
      <c r="F801" s="5" t="s">
        <v>31</v>
      </c>
      <c r="G801" s="5">
        <v>5</v>
      </c>
      <c r="H801" s="5">
        <v>756</v>
      </c>
      <c r="I801" s="5">
        <v>3780</v>
      </c>
      <c r="J801" s="5" t="s">
        <v>16</v>
      </c>
      <c r="K801" s="5" t="s">
        <v>81</v>
      </c>
    </row>
    <row r="802" spans="1:11" x14ac:dyDescent="0.3">
      <c r="A802" s="3" t="s">
        <v>1176</v>
      </c>
      <c r="B802" s="4">
        <v>45804</v>
      </c>
      <c r="C802" s="3" t="s">
        <v>191</v>
      </c>
      <c r="D802" s="3" t="s">
        <v>29</v>
      </c>
      <c r="E802" s="3" t="s">
        <v>73</v>
      </c>
      <c r="F802" s="3" t="s">
        <v>68</v>
      </c>
      <c r="G802" s="3">
        <v>10</v>
      </c>
      <c r="H802" s="3">
        <v>1301</v>
      </c>
      <c r="I802" s="3">
        <v>13010</v>
      </c>
      <c r="J802" s="3" t="s">
        <v>16</v>
      </c>
      <c r="K802" s="3" t="s">
        <v>81</v>
      </c>
    </row>
    <row r="803" spans="1:11" x14ac:dyDescent="0.3">
      <c r="A803" s="5" t="s">
        <v>1177</v>
      </c>
      <c r="B803" s="6">
        <v>45952</v>
      </c>
      <c r="C803" s="5" t="s">
        <v>79</v>
      </c>
      <c r="D803" s="5" t="s">
        <v>55</v>
      </c>
      <c r="E803" s="5" t="s">
        <v>108</v>
      </c>
      <c r="F803" s="5" t="s">
        <v>49</v>
      </c>
      <c r="G803" s="5">
        <v>4</v>
      </c>
      <c r="H803" s="5">
        <v>6463</v>
      </c>
      <c r="I803" s="5">
        <v>25852</v>
      </c>
      <c r="J803" s="5" t="s">
        <v>128</v>
      </c>
      <c r="K803" s="5" t="s">
        <v>95</v>
      </c>
    </row>
    <row r="804" spans="1:11" x14ac:dyDescent="0.3">
      <c r="A804" s="3" t="s">
        <v>1178</v>
      </c>
      <c r="B804" s="4">
        <v>45834</v>
      </c>
      <c r="C804" s="3" t="s">
        <v>137</v>
      </c>
      <c r="D804" s="3" t="s">
        <v>59</v>
      </c>
      <c r="E804" s="3" t="s">
        <v>108</v>
      </c>
      <c r="F804" s="3" t="s">
        <v>49</v>
      </c>
      <c r="G804" s="3">
        <v>9</v>
      </c>
      <c r="H804" s="3">
        <v>7289</v>
      </c>
      <c r="I804" s="3">
        <v>65601</v>
      </c>
      <c r="J804" s="3" t="s">
        <v>16</v>
      </c>
      <c r="K804" s="3" t="s">
        <v>61</v>
      </c>
    </row>
    <row r="805" spans="1:11" x14ac:dyDescent="0.3">
      <c r="A805" s="5" t="s">
        <v>1179</v>
      </c>
      <c r="B805" s="6">
        <v>45913</v>
      </c>
      <c r="C805" s="5" t="s">
        <v>892</v>
      </c>
      <c r="D805" s="5" t="s">
        <v>29</v>
      </c>
      <c r="E805" s="5" t="s">
        <v>48</v>
      </c>
      <c r="F805" s="5" t="s">
        <v>49</v>
      </c>
      <c r="G805" s="5">
        <v>5</v>
      </c>
      <c r="H805" s="5">
        <v>8318</v>
      </c>
      <c r="I805" s="5">
        <v>41590</v>
      </c>
      <c r="J805" s="5" t="s">
        <v>16</v>
      </c>
      <c r="K805" s="5" t="s">
        <v>95</v>
      </c>
    </row>
    <row r="806" spans="1:11" x14ac:dyDescent="0.3">
      <c r="A806" s="3" t="s">
        <v>1180</v>
      </c>
      <c r="B806" s="4">
        <v>46019</v>
      </c>
      <c r="C806" s="3" t="s">
        <v>158</v>
      </c>
      <c r="D806" s="3" t="s">
        <v>55</v>
      </c>
      <c r="E806" s="3" t="s">
        <v>108</v>
      </c>
      <c r="F806" s="3" t="s">
        <v>49</v>
      </c>
      <c r="G806" s="3">
        <v>9</v>
      </c>
      <c r="H806" s="3">
        <v>7665</v>
      </c>
      <c r="I806" s="3">
        <v>68985</v>
      </c>
      <c r="J806" s="3" t="s">
        <v>16</v>
      </c>
      <c r="K806" s="3" t="s">
        <v>95</v>
      </c>
    </row>
    <row r="807" spans="1:11" x14ac:dyDescent="0.3">
      <c r="A807" s="5" t="s">
        <v>1181</v>
      </c>
      <c r="B807" s="6">
        <v>45884</v>
      </c>
      <c r="C807" s="5" t="s">
        <v>361</v>
      </c>
      <c r="D807" s="5" t="s">
        <v>55</v>
      </c>
      <c r="E807" s="5" t="s">
        <v>60</v>
      </c>
      <c r="F807" s="5" t="s">
        <v>25</v>
      </c>
      <c r="G807" s="5">
        <v>3</v>
      </c>
      <c r="H807" s="5">
        <v>1589</v>
      </c>
      <c r="I807" s="5">
        <v>4767</v>
      </c>
      <c r="J807" s="5" t="s">
        <v>16</v>
      </c>
      <c r="K807" s="5" t="s">
        <v>26</v>
      </c>
    </row>
    <row r="808" spans="1:11" x14ac:dyDescent="0.3">
      <c r="A808" s="3" t="s">
        <v>1182</v>
      </c>
      <c r="B808" s="4">
        <v>45670</v>
      </c>
      <c r="C808" s="3" t="s">
        <v>496</v>
      </c>
      <c r="D808" s="3" t="s">
        <v>59</v>
      </c>
      <c r="E808" s="3" t="s">
        <v>73</v>
      </c>
      <c r="F808" s="3" t="s">
        <v>68</v>
      </c>
      <c r="G808" s="3">
        <v>3</v>
      </c>
      <c r="H808" s="3">
        <v>1242</v>
      </c>
      <c r="I808" s="3">
        <v>3726</v>
      </c>
      <c r="J808" s="3" t="s">
        <v>16</v>
      </c>
      <c r="K808" s="3" t="s">
        <v>89</v>
      </c>
    </row>
    <row r="809" spans="1:11" x14ac:dyDescent="0.3">
      <c r="A809" s="5" t="s">
        <v>1183</v>
      </c>
      <c r="B809" s="6">
        <v>45757</v>
      </c>
      <c r="C809" s="5" t="s">
        <v>1158</v>
      </c>
      <c r="D809" s="5" t="s">
        <v>55</v>
      </c>
      <c r="E809" s="5" t="s">
        <v>98</v>
      </c>
      <c r="F809" s="5" t="s">
        <v>68</v>
      </c>
      <c r="G809" s="5">
        <v>2</v>
      </c>
      <c r="H809" s="5">
        <v>1737</v>
      </c>
      <c r="I809" s="5">
        <v>3474</v>
      </c>
      <c r="J809" s="5" t="s">
        <v>16</v>
      </c>
      <c r="K809" s="5" t="s">
        <v>92</v>
      </c>
    </row>
    <row r="810" spans="1:11" x14ac:dyDescent="0.3">
      <c r="A810" s="3" t="s">
        <v>1184</v>
      </c>
      <c r="B810" s="4">
        <v>46004</v>
      </c>
      <c r="C810" s="3" t="s">
        <v>803</v>
      </c>
      <c r="D810" s="3" t="s">
        <v>59</v>
      </c>
      <c r="E810" s="3" t="s">
        <v>30</v>
      </c>
      <c r="F810" s="3" t="s">
        <v>31</v>
      </c>
      <c r="G810" s="3">
        <v>1</v>
      </c>
      <c r="H810" s="3">
        <v>733</v>
      </c>
      <c r="I810" s="3">
        <v>733</v>
      </c>
      <c r="J810" s="3" t="s">
        <v>16</v>
      </c>
      <c r="K810" s="3" t="s">
        <v>17</v>
      </c>
    </row>
    <row r="811" spans="1:11" x14ac:dyDescent="0.3">
      <c r="A811" s="5" t="s">
        <v>1185</v>
      </c>
      <c r="B811" s="6">
        <v>45686</v>
      </c>
      <c r="C811" s="5" t="s">
        <v>139</v>
      </c>
      <c r="D811" s="5" t="s">
        <v>55</v>
      </c>
      <c r="E811" s="5" t="s">
        <v>73</v>
      </c>
      <c r="F811" s="5" t="s">
        <v>68</v>
      </c>
      <c r="G811" s="5">
        <v>8</v>
      </c>
      <c r="H811" s="5">
        <v>1156</v>
      </c>
      <c r="I811" s="5">
        <v>9248</v>
      </c>
      <c r="J811" s="5" t="s">
        <v>16</v>
      </c>
      <c r="K811" s="5" t="s">
        <v>61</v>
      </c>
    </row>
    <row r="812" spans="1:11" x14ac:dyDescent="0.3">
      <c r="A812" s="3" t="s">
        <v>1186</v>
      </c>
      <c r="B812" s="4">
        <v>45837</v>
      </c>
      <c r="C812" s="3" t="s">
        <v>469</v>
      </c>
      <c r="D812" s="3" t="s">
        <v>29</v>
      </c>
      <c r="E812" s="3" t="s">
        <v>98</v>
      </c>
      <c r="F812" s="3" t="s">
        <v>68</v>
      </c>
      <c r="G812" s="3">
        <v>7</v>
      </c>
      <c r="H812" s="3">
        <v>1754</v>
      </c>
      <c r="I812" s="3">
        <v>12278</v>
      </c>
      <c r="J812" s="3" t="s">
        <v>16</v>
      </c>
      <c r="K812" s="3" t="s">
        <v>95</v>
      </c>
    </row>
    <row r="813" spans="1:11" x14ac:dyDescent="0.3">
      <c r="A813" s="5" t="s">
        <v>1187</v>
      </c>
      <c r="B813" s="6">
        <v>45884</v>
      </c>
      <c r="C813" s="5" t="s">
        <v>285</v>
      </c>
      <c r="D813" s="5" t="s">
        <v>55</v>
      </c>
      <c r="E813" s="5" t="s">
        <v>52</v>
      </c>
      <c r="F813" s="5" t="s">
        <v>15</v>
      </c>
      <c r="G813" s="5">
        <v>8</v>
      </c>
      <c r="H813" s="5">
        <v>26207</v>
      </c>
      <c r="I813" s="5">
        <v>209656</v>
      </c>
      <c r="J813" s="5" t="s">
        <v>16</v>
      </c>
      <c r="K813" s="5" t="s">
        <v>81</v>
      </c>
    </row>
    <row r="814" spans="1:11" x14ac:dyDescent="0.3">
      <c r="A814" s="3" t="s">
        <v>1188</v>
      </c>
      <c r="B814" s="4">
        <v>45702</v>
      </c>
      <c r="C814" s="3" t="s">
        <v>54</v>
      </c>
      <c r="D814" s="3" t="s">
        <v>55</v>
      </c>
      <c r="E814" s="3" t="s">
        <v>67</v>
      </c>
      <c r="F814" s="3" t="s">
        <v>68</v>
      </c>
      <c r="G814" s="3">
        <v>7</v>
      </c>
      <c r="H814" s="3">
        <v>463</v>
      </c>
      <c r="I814" s="3">
        <v>3241</v>
      </c>
      <c r="J814" s="3" t="s">
        <v>16</v>
      </c>
      <c r="K814" s="3" t="s">
        <v>21</v>
      </c>
    </row>
    <row r="815" spans="1:11" x14ac:dyDescent="0.3">
      <c r="A815" s="5" t="s">
        <v>1189</v>
      </c>
      <c r="B815" s="6">
        <v>45850</v>
      </c>
      <c r="C815" s="5" t="s">
        <v>359</v>
      </c>
      <c r="D815" s="5" t="s">
        <v>59</v>
      </c>
      <c r="E815" s="5" t="s">
        <v>24</v>
      </c>
      <c r="F815" s="5" t="s">
        <v>25</v>
      </c>
      <c r="G815" s="5">
        <v>2</v>
      </c>
      <c r="H815" s="5">
        <v>1303</v>
      </c>
      <c r="I815" s="5">
        <v>2606</v>
      </c>
      <c r="J815" s="5" t="s">
        <v>16</v>
      </c>
      <c r="K815" s="5" t="s">
        <v>39</v>
      </c>
    </row>
    <row r="816" spans="1:11" x14ac:dyDescent="0.3">
      <c r="A816" s="3" t="s">
        <v>1190</v>
      </c>
      <c r="B816" s="4">
        <v>45728</v>
      </c>
      <c r="C816" s="3" t="s">
        <v>428</v>
      </c>
      <c r="D816" s="3" t="s">
        <v>29</v>
      </c>
      <c r="E816" s="3" t="s">
        <v>45</v>
      </c>
      <c r="F816" s="3" t="s">
        <v>31</v>
      </c>
      <c r="G816" s="3">
        <v>3</v>
      </c>
      <c r="H816" s="3">
        <v>1820</v>
      </c>
      <c r="I816" s="3">
        <v>5460</v>
      </c>
      <c r="J816" s="3" t="s">
        <v>16</v>
      </c>
      <c r="K816" s="3" t="s">
        <v>81</v>
      </c>
    </row>
    <row r="817" spans="1:11" x14ac:dyDescent="0.3">
      <c r="A817" s="5" t="s">
        <v>1191</v>
      </c>
      <c r="B817" s="6">
        <v>45957</v>
      </c>
      <c r="C817" s="5" t="s">
        <v>243</v>
      </c>
      <c r="D817" s="5" t="s">
        <v>55</v>
      </c>
      <c r="E817" s="5" t="s">
        <v>34</v>
      </c>
      <c r="F817" s="5" t="s">
        <v>31</v>
      </c>
      <c r="G817" s="5">
        <v>8</v>
      </c>
      <c r="H817" s="5">
        <v>3179</v>
      </c>
      <c r="I817" s="5">
        <v>25432</v>
      </c>
      <c r="J817" s="5" t="s">
        <v>16</v>
      </c>
      <c r="K817" s="5" t="s">
        <v>95</v>
      </c>
    </row>
    <row r="818" spans="1:11" x14ac:dyDescent="0.3">
      <c r="A818" s="3" t="s">
        <v>1192</v>
      </c>
      <c r="B818" s="4">
        <v>45811</v>
      </c>
      <c r="C818" s="3" t="s">
        <v>701</v>
      </c>
      <c r="D818" s="3" t="s">
        <v>13</v>
      </c>
      <c r="E818" s="3" t="s">
        <v>73</v>
      </c>
      <c r="F818" s="3" t="s">
        <v>68</v>
      </c>
      <c r="G818" s="3">
        <v>1</v>
      </c>
      <c r="H818" s="3">
        <v>1269</v>
      </c>
      <c r="I818" s="3">
        <v>1269</v>
      </c>
      <c r="J818" s="3" t="s">
        <v>16</v>
      </c>
      <c r="K818" s="3" t="s">
        <v>42</v>
      </c>
    </row>
    <row r="819" spans="1:11" x14ac:dyDescent="0.3">
      <c r="A819" s="5" t="s">
        <v>1193</v>
      </c>
      <c r="B819" s="6">
        <v>45988</v>
      </c>
      <c r="C819" s="5" t="s">
        <v>1194</v>
      </c>
      <c r="D819" s="5" t="s">
        <v>13</v>
      </c>
      <c r="E819" s="5" t="s">
        <v>14</v>
      </c>
      <c r="F819" s="5" t="s">
        <v>15</v>
      </c>
      <c r="G819" s="5">
        <v>7</v>
      </c>
      <c r="H819" s="5">
        <v>2807</v>
      </c>
      <c r="I819" s="5">
        <v>19649</v>
      </c>
      <c r="J819" s="5" t="s">
        <v>128</v>
      </c>
      <c r="K819" s="5" t="s">
        <v>39</v>
      </c>
    </row>
    <row r="820" spans="1:11" x14ac:dyDescent="0.3">
      <c r="A820" s="3" t="s">
        <v>1195</v>
      </c>
      <c r="B820" s="4">
        <v>45904</v>
      </c>
      <c r="C820" s="3" t="s">
        <v>315</v>
      </c>
      <c r="D820" s="3" t="s">
        <v>59</v>
      </c>
      <c r="E820" s="3" t="s">
        <v>45</v>
      </c>
      <c r="F820" s="3" t="s">
        <v>31</v>
      </c>
      <c r="G820" s="3">
        <v>2</v>
      </c>
      <c r="H820" s="3">
        <v>1835</v>
      </c>
      <c r="I820" s="3">
        <v>3670</v>
      </c>
      <c r="J820" s="3" t="s">
        <v>16</v>
      </c>
      <c r="K820" s="3" t="s">
        <v>99</v>
      </c>
    </row>
    <row r="821" spans="1:11" x14ac:dyDescent="0.3">
      <c r="A821" s="5" t="s">
        <v>1196</v>
      </c>
      <c r="B821" s="6">
        <v>45666</v>
      </c>
      <c r="C821" s="5" t="s">
        <v>748</v>
      </c>
      <c r="D821" s="5" t="s">
        <v>55</v>
      </c>
      <c r="E821" s="5" t="s">
        <v>67</v>
      </c>
      <c r="F821" s="5" t="s">
        <v>68</v>
      </c>
      <c r="G821" s="5">
        <v>2</v>
      </c>
      <c r="H821" s="5">
        <v>487</v>
      </c>
      <c r="I821" s="5">
        <v>974</v>
      </c>
      <c r="J821" s="5" t="s">
        <v>16</v>
      </c>
      <c r="K821" s="5" t="s">
        <v>81</v>
      </c>
    </row>
    <row r="822" spans="1:11" x14ac:dyDescent="0.3">
      <c r="A822" s="3" t="s">
        <v>1197</v>
      </c>
      <c r="B822" s="4">
        <v>45741</v>
      </c>
      <c r="C822" s="3" t="s">
        <v>230</v>
      </c>
      <c r="D822" s="3" t="s">
        <v>13</v>
      </c>
      <c r="E822" s="3" t="s">
        <v>113</v>
      </c>
      <c r="F822" s="3" t="s">
        <v>49</v>
      </c>
      <c r="G822" s="3">
        <v>8</v>
      </c>
      <c r="H822" s="3">
        <v>12907</v>
      </c>
      <c r="I822" s="3">
        <v>103256</v>
      </c>
      <c r="J822" s="3" t="s">
        <v>16</v>
      </c>
      <c r="K822" s="3" t="s">
        <v>56</v>
      </c>
    </row>
    <row r="823" spans="1:11" x14ac:dyDescent="0.3">
      <c r="A823" s="5" t="s">
        <v>1198</v>
      </c>
      <c r="B823" s="6">
        <v>45697</v>
      </c>
      <c r="C823" s="5" t="s">
        <v>450</v>
      </c>
      <c r="D823" s="5" t="s">
        <v>29</v>
      </c>
      <c r="E823" s="5" t="s">
        <v>30</v>
      </c>
      <c r="F823" s="5" t="s">
        <v>31</v>
      </c>
      <c r="G823" s="5">
        <v>5</v>
      </c>
      <c r="H823" s="5">
        <v>766</v>
      </c>
      <c r="I823" s="5">
        <v>3830</v>
      </c>
      <c r="J823" s="5" t="s">
        <v>16</v>
      </c>
      <c r="K823" s="5" t="s">
        <v>21</v>
      </c>
    </row>
    <row r="824" spans="1:11" x14ac:dyDescent="0.3">
      <c r="A824" s="3" t="s">
        <v>1199</v>
      </c>
      <c r="B824" s="4">
        <v>45819</v>
      </c>
      <c r="C824" s="3" t="s">
        <v>832</v>
      </c>
      <c r="D824" s="3" t="s">
        <v>55</v>
      </c>
      <c r="E824" s="3" t="s">
        <v>108</v>
      </c>
      <c r="F824" s="3" t="s">
        <v>49</v>
      </c>
      <c r="G824" s="3">
        <v>10</v>
      </c>
      <c r="H824" s="3">
        <v>7353</v>
      </c>
      <c r="I824" s="3">
        <v>73530</v>
      </c>
      <c r="J824" s="3" t="s">
        <v>16</v>
      </c>
      <c r="K824" s="3" t="s">
        <v>56</v>
      </c>
    </row>
    <row r="825" spans="1:11" x14ac:dyDescent="0.3">
      <c r="A825" s="5" t="s">
        <v>1200</v>
      </c>
      <c r="B825" s="6">
        <v>45664</v>
      </c>
      <c r="C825" s="5" t="s">
        <v>383</v>
      </c>
      <c r="D825" s="5" t="s">
        <v>13</v>
      </c>
      <c r="E825" s="5" t="s">
        <v>30</v>
      </c>
      <c r="F825" s="5" t="s">
        <v>31</v>
      </c>
      <c r="G825" s="5">
        <v>9</v>
      </c>
      <c r="H825" s="5">
        <v>812</v>
      </c>
      <c r="I825" s="5">
        <v>7308</v>
      </c>
      <c r="J825" s="5" t="s">
        <v>35</v>
      </c>
      <c r="K825" s="5" t="s">
        <v>92</v>
      </c>
    </row>
    <row r="826" spans="1:11" x14ac:dyDescent="0.3">
      <c r="A826" s="3" t="s">
        <v>1201</v>
      </c>
      <c r="B826" s="4">
        <v>45769</v>
      </c>
      <c r="C826" s="3" t="s">
        <v>673</v>
      </c>
      <c r="D826" s="3" t="s">
        <v>59</v>
      </c>
      <c r="E826" s="3" t="s">
        <v>98</v>
      </c>
      <c r="F826" s="3" t="s">
        <v>68</v>
      </c>
      <c r="G826" s="3">
        <v>6</v>
      </c>
      <c r="H826" s="3">
        <v>1951</v>
      </c>
      <c r="I826" s="3">
        <v>11706</v>
      </c>
      <c r="J826" s="3" t="s">
        <v>16</v>
      </c>
      <c r="K826" s="3" t="s">
        <v>92</v>
      </c>
    </row>
    <row r="827" spans="1:11" x14ac:dyDescent="0.3">
      <c r="A827" s="5" t="s">
        <v>1202</v>
      </c>
      <c r="B827" s="6">
        <v>45930</v>
      </c>
      <c r="C827" s="5" t="s">
        <v>258</v>
      </c>
      <c r="D827" s="5" t="s">
        <v>59</v>
      </c>
      <c r="E827" s="5" t="s">
        <v>48</v>
      </c>
      <c r="F827" s="5" t="s">
        <v>49</v>
      </c>
      <c r="G827" s="5">
        <v>10</v>
      </c>
      <c r="H827" s="5">
        <v>9341</v>
      </c>
      <c r="I827" s="5">
        <v>93410</v>
      </c>
      <c r="J827" s="5" t="s">
        <v>128</v>
      </c>
      <c r="K827" s="5" t="s">
        <v>26</v>
      </c>
    </row>
    <row r="828" spans="1:11" x14ac:dyDescent="0.3">
      <c r="A828" s="3" t="s">
        <v>1203</v>
      </c>
      <c r="B828" s="4">
        <v>45725</v>
      </c>
      <c r="C828" s="3" t="s">
        <v>320</v>
      </c>
      <c r="D828" s="3" t="s">
        <v>55</v>
      </c>
      <c r="E828" s="3" t="s">
        <v>116</v>
      </c>
      <c r="F828" s="3" t="s">
        <v>15</v>
      </c>
      <c r="G828" s="3">
        <v>8</v>
      </c>
      <c r="H828" s="3">
        <v>8665</v>
      </c>
      <c r="I828" s="3">
        <v>69320</v>
      </c>
      <c r="J828" s="3" t="s">
        <v>16</v>
      </c>
      <c r="K828" s="3" t="s">
        <v>95</v>
      </c>
    </row>
    <row r="829" spans="1:11" x14ac:dyDescent="0.3">
      <c r="A829" s="5" t="s">
        <v>1204</v>
      </c>
      <c r="B829" s="6">
        <v>45833</v>
      </c>
      <c r="C829" s="5" t="s">
        <v>728</v>
      </c>
      <c r="D829" s="5" t="s">
        <v>59</v>
      </c>
      <c r="E829" s="5" t="s">
        <v>30</v>
      </c>
      <c r="F829" s="5" t="s">
        <v>31</v>
      </c>
      <c r="G829" s="5">
        <v>8</v>
      </c>
      <c r="H829" s="5">
        <v>862</v>
      </c>
      <c r="I829" s="5">
        <v>6896</v>
      </c>
      <c r="J829" s="5" t="s">
        <v>16</v>
      </c>
      <c r="K829" s="5" t="s">
        <v>26</v>
      </c>
    </row>
    <row r="830" spans="1:11" x14ac:dyDescent="0.3">
      <c r="A830" s="3" t="s">
        <v>1205</v>
      </c>
      <c r="B830" s="4">
        <v>45774</v>
      </c>
      <c r="C830" s="3" t="s">
        <v>469</v>
      </c>
      <c r="D830" s="3" t="s">
        <v>59</v>
      </c>
      <c r="E830" s="3" t="s">
        <v>52</v>
      </c>
      <c r="F830" s="3" t="s">
        <v>15</v>
      </c>
      <c r="G830" s="3">
        <v>3</v>
      </c>
      <c r="H830" s="3">
        <v>26784</v>
      </c>
      <c r="I830" s="3">
        <v>80352</v>
      </c>
      <c r="J830" s="3" t="s">
        <v>16</v>
      </c>
      <c r="K830" s="3" t="s">
        <v>81</v>
      </c>
    </row>
    <row r="831" spans="1:11" x14ac:dyDescent="0.3">
      <c r="A831" s="5" t="s">
        <v>1206</v>
      </c>
      <c r="B831" s="6">
        <v>45878</v>
      </c>
      <c r="C831" s="5" t="s">
        <v>204</v>
      </c>
      <c r="D831" s="5" t="s">
        <v>59</v>
      </c>
      <c r="E831" s="5" t="s">
        <v>116</v>
      </c>
      <c r="F831" s="5" t="s">
        <v>15</v>
      </c>
      <c r="G831" s="5">
        <v>2</v>
      </c>
      <c r="H831" s="5">
        <v>7324</v>
      </c>
      <c r="I831" s="5">
        <v>14648</v>
      </c>
      <c r="J831" s="5" t="s">
        <v>16</v>
      </c>
      <c r="K831" s="5" t="s">
        <v>21</v>
      </c>
    </row>
    <row r="832" spans="1:11" x14ac:dyDescent="0.3">
      <c r="A832" s="3" t="s">
        <v>1207</v>
      </c>
      <c r="B832" s="4">
        <v>45680</v>
      </c>
      <c r="C832" s="3" t="s">
        <v>1208</v>
      </c>
      <c r="D832" s="3" t="s">
        <v>59</v>
      </c>
      <c r="E832" s="3" t="s">
        <v>60</v>
      </c>
      <c r="F832" s="3" t="s">
        <v>25</v>
      </c>
      <c r="G832" s="3">
        <v>1</v>
      </c>
      <c r="H832" s="3">
        <v>1490</v>
      </c>
      <c r="I832" s="3">
        <v>1490</v>
      </c>
      <c r="J832" s="3" t="s">
        <v>35</v>
      </c>
      <c r="K832" s="3" t="s">
        <v>56</v>
      </c>
    </row>
    <row r="833" spans="1:11" x14ac:dyDescent="0.3">
      <c r="A833" s="5" t="s">
        <v>1209</v>
      </c>
      <c r="B833" s="6">
        <v>45752</v>
      </c>
      <c r="C833" s="5" t="s">
        <v>803</v>
      </c>
      <c r="D833" s="5" t="s">
        <v>13</v>
      </c>
      <c r="E833" s="5" t="s">
        <v>20</v>
      </c>
      <c r="F833" s="5" t="s">
        <v>15</v>
      </c>
      <c r="G833" s="5">
        <v>10</v>
      </c>
      <c r="H833" s="5">
        <v>51759</v>
      </c>
      <c r="I833" s="5">
        <v>517590</v>
      </c>
      <c r="J833" s="5" t="s">
        <v>128</v>
      </c>
      <c r="K833" s="5" t="s">
        <v>61</v>
      </c>
    </row>
    <row r="834" spans="1:11" x14ac:dyDescent="0.3">
      <c r="A834" s="3" t="s">
        <v>1210</v>
      </c>
      <c r="B834" s="4">
        <v>45740</v>
      </c>
      <c r="C834" s="3" t="s">
        <v>562</v>
      </c>
      <c r="D834" s="3" t="s">
        <v>59</v>
      </c>
      <c r="E834" s="3" t="s">
        <v>48</v>
      </c>
      <c r="F834" s="3" t="s">
        <v>49</v>
      </c>
      <c r="G834" s="3">
        <v>5</v>
      </c>
      <c r="H834" s="3">
        <v>9807</v>
      </c>
      <c r="I834" s="3">
        <v>49035</v>
      </c>
      <c r="J834" s="3" t="s">
        <v>16</v>
      </c>
      <c r="K834" s="3" t="s">
        <v>84</v>
      </c>
    </row>
    <row r="835" spans="1:11" x14ac:dyDescent="0.3">
      <c r="A835" s="5" t="s">
        <v>1211</v>
      </c>
      <c r="B835" s="6">
        <v>45665</v>
      </c>
      <c r="C835" s="5" t="s">
        <v>66</v>
      </c>
      <c r="D835" s="5" t="s">
        <v>13</v>
      </c>
      <c r="E835" s="5" t="s">
        <v>48</v>
      </c>
      <c r="F835" s="5" t="s">
        <v>49</v>
      </c>
      <c r="G835" s="5">
        <v>10</v>
      </c>
      <c r="H835" s="5">
        <v>8223</v>
      </c>
      <c r="I835" s="5">
        <v>82230</v>
      </c>
      <c r="J835" s="5" t="s">
        <v>35</v>
      </c>
      <c r="K835" s="5" t="s">
        <v>21</v>
      </c>
    </row>
    <row r="836" spans="1:11" x14ac:dyDescent="0.3">
      <c r="A836" s="3" t="s">
        <v>1212</v>
      </c>
      <c r="B836" s="4">
        <v>45767</v>
      </c>
      <c r="C836" s="3" t="s">
        <v>610</v>
      </c>
      <c r="D836" s="3" t="s">
        <v>13</v>
      </c>
      <c r="E836" s="3" t="s">
        <v>30</v>
      </c>
      <c r="F836" s="3" t="s">
        <v>31</v>
      </c>
      <c r="G836" s="3">
        <v>9</v>
      </c>
      <c r="H836" s="3">
        <v>720</v>
      </c>
      <c r="I836" s="3">
        <v>6480</v>
      </c>
      <c r="J836" s="3" t="s">
        <v>16</v>
      </c>
      <c r="K836" s="3" t="s">
        <v>42</v>
      </c>
    </row>
    <row r="837" spans="1:11" x14ac:dyDescent="0.3">
      <c r="A837" s="5" t="s">
        <v>1213</v>
      </c>
      <c r="B837" s="6">
        <v>45712</v>
      </c>
      <c r="C837" s="5" t="s">
        <v>586</v>
      </c>
      <c r="D837" s="5" t="s">
        <v>13</v>
      </c>
      <c r="E837" s="5" t="s">
        <v>34</v>
      </c>
      <c r="F837" s="5" t="s">
        <v>31</v>
      </c>
      <c r="G837" s="5">
        <v>10</v>
      </c>
      <c r="H837" s="5">
        <v>3279</v>
      </c>
      <c r="I837" s="5">
        <v>32790</v>
      </c>
      <c r="J837" s="5" t="s">
        <v>16</v>
      </c>
      <c r="K837" s="5" t="s">
        <v>42</v>
      </c>
    </row>
    <row r="838" spans="1:11" x14ac:dyDescent="0.3">
      <c r="A838" s="3" t="s">
        <v>1214</v>
      </c>
      <c r="B838" s="4">
        <v>45818</v>
      </c>
      <c r="C838" s="3" t="s">
        <v>33</v>
      </c>
      <c r="D838" s="3" t="s">
        <v>29</v>
      </c>
      <c r="E838" s="3" t="s">
        <v>98</v>
      </c>
      <c r="F838" s="3" t="s">
        <v>68</v>
      </c>
      <c r="G838" s="3">
        <v>4</v>
      </c>
      <c r="H838" s="3">
        <v>1805</v>
      </c>
      <c r="I838" s="3">
        <v>7220</v>
      </c>
      <c r="J838" s="3" t="s">
        <v>16</v>
      </c>
      <c r="K838" s="3" t="s">
        <v>95</v>
      </c>
    </row>
    <row r="839" spans="1:11" x14ac:dyDescent="0.3">
      <c r="A839" s="5" t="s">
        <v>1215</v>
      </c>
      <c r="B839" s="6">
        <v>45678</v>
      </c>
      <c r="C839" s="5" t="s">
        <v>988</v>
      </c>
      <c r="D839" s="5" t="s">
        <v>59</v>
      </c>
      <c r="E839" s="5" t="s">
        <v>113</v>
      </c>
      <c r="F839" s="5" t="s">
        <v>49</v>
      </c>
      <c r="G839" s="5">
        <v>6</v>
      </c>
      <c r="H839" s="5">
        <v>12491</v>
      </c>
      <c r="I839" s="5">
        <v>74946</v>
      </c>
      <c r="J839" s="5" t="s">
        <v>16</v>
      </c>
      <c r="K839" s="5" t="s">
        <v>61</v>
      </c>
    </row>
    <row r="840" spans="1:11" x14ac:dyDescent="0.3">
      <c r="A840" s="3" t="s">
        <v>1216</v>
      </c>
      <c r="B840" s="4">
        <v>45885</v>
      </c>
      <c r="C840" s="3" t="s">
        <v>438</v>
      </c>
      <c r="D840" s="3" t="s">
        <v>29</v>
      </c>
      <c r="E840" s="3" t="s">
        <v>98</v>
      </c>
      <c r="F840" s="3" t="s">
        <v>68</v>
      </c>
      <c r="G840" s="3">
        <v>8</v>
      </c>
      <c r="H840" s="3">
        <v>1836</v>
      </c>
      <c r="I840" s="3">
        <v>14688</v>
      </c>
      <c r="J840" s="3" t="s">
        <v>16</v>
      </c>
      <c r="K840" s="3" t="s">
        <v>92</v>
      </c>
    </row>
    <row r="841" spans="1:11" x14ac:dyDescent="0.3">
      <c r="A841" s="5" t="s">
        <v>1217</v>
      </c>
      <c r="B841" s="6">
        <v>46005</v>
      </c>
      <c r="C841" s="5" t="s">
        <v>311</v>
      </c>
      <c r="D841" s="5" t="s">
        <v>29</v>
      </c>
      <c r="E841" s="5" t="s">
        <v>73</v>
      </c>
      <c r="F841" s="5" t="s">
        <v>68</v>
      </c>
      <c r="G841" s="5">
        <v>2</v>
      </c>
      <c r="H841" s="5">
        <v>1294</v>
      </c>
      <c r="I841" s="5">
        <v>2588</v>
      </c>
      <c r="J841" s="5" t="s">
        <v>35</v>
      </c>
      <c r="K841" s="5" t="s">
        <v>81</v>
      </c>
    </row>
    <row r="842" spans="1:11" x14ac:dyDescent="0.3">
      <c r="A842" s="3" t="s">
        <v>1218</v>
      </c>
      <c r="B842" s="4">
        <v>46004</v>
      </c>
      <c r="C842" s="3" t="s">
        <v>403</v>
      </c>
      <c r="D842" s="3" t="s">
        <v>59</v>
      </c>
      <c r="E842" s="3" t="s">
        <v>67</v>
      </c>
      <c r="F842" s="3" t="s">
        <v>68</v>
      </c>
      <c r="G842" s="3">
        <v>2</v>
      </c>
      <c r="H842" s="3">
        <v>489</v>
      </c>
      <c r="I842" s="3">
        <v>978</v>
      </c>
      <c r="J842" s="3" t="s">
        <v>16</v>
      </c>
      <c r="K842" s="3" t="s">
        <v>17</v>
      </c>
    </row>
    <row r="843" spans="1:11" x14ac:dyDescent="0.3">
      <c r="A843" s="5" t="s">
        <v>1219</v>
      </c>
      <c r="B843" s="6">
        <v>45744</v>
      </c>
      <c r="C843" s="5" t="s">
        <v>1208</v>
      </c>
      <c r="D843" s="5" t="s">
        <v>59</v>
      </c>
      <c r="E843" s="5" t="s">
        <v>67</v>
      </c>
      <c r="F843" s="5" t="s">
        <v>68</v>
      </c>
      <c r="G843" s="5">
        <v>10</v>
      </c>
      <c r="H843" s="5">
        <v>547</v>
      </c>
      <c r="I843" s="5">
        <v>5470</v>
      </c>
      <c r="J843" s="5" t="s">
        <v>16</v>
      </c>
      <c r="K843" s="5" t="s">
        <v>61</v>
      </c>
    </row>
    <row r="844" spans="1:11" x14ac:dyDescent="0.3">
      <c r="A844" s="3" t="s">
        <v>1220</v>
      </c>
      <c r="B844" s="4">
        <v>45777</v>
      </c>
      <c r="C844" s="3" t="s">
        <v>218</v>
      </c>
      <c r="D844" s="3" t="s">
        <v>55</v>
      </c>
      <c r="E844" s="3" t="s">
        <v>30</v>
      </c>
      <c r="F844" s="3" t="s">
        <v>31</v>
      </c>
      <c r="G844" s="3">
        <v>10</v>
      </c>
      <c r="H844" s="3">
        <v>855</v>
      </c>
      <c r="I844" s="3">
        <v>8550</v>
      </c>
      <c r="J844" s="3" t="s">
        <v>16</v>
      </c>
      <c r="K844" s="3" t="s">
        <v>26</v>
      </c>
    </row>
    <row r="845" spans="1:11" x14ac:dyDescent="0.3">
      <c r="A845" s="5" t="s">
        <v>1221</v>
      </c>
      <c r="B845" s="6">
        <v>45862</v>
      </c>
      <c r="C845" s="5" t="s">
        <v>565</v>
      </c>
      <c r="D845" s="5" t="s">
        <v>29</v>
      </c>
      <c r="E845" s="5" t="s">
        <v>60</v>
      </c>
      <c r="F845" s="5" t="s">
        <v>25</v>
      </c>
      <c r="G845" s="5">
        <v>5</v>
      </c>
      <c r="H845" s="5">
        <v>1576</v>
      </c>
      <c r="I845" s="5">
        <v>7880</v>
      </c>
      <c r="J845" s="5" t="s">
        <v>35</v>
      </c>
      <c r="K845" s="5" t="s">
        <v>95</v>
      </c>
    </row>
    <row r="846" spans="1:11" x14ac:dyDescent="0.3">
      <c r="A846" s="3" t="s">
        <v>1222</v>
      </c>
      <c r="B846" s="4">
        <v>45713</v>
      </c>
      <c r="C846" s="3" t="s">
        <v>681</v>
      </c>
      <c r="D846" s="3" t="s">
        <v>13</v>
      </c>
      <c r="E846" s="3" t="s">
        <v>98</v>
      </c>
      <c r="F846" s="3" t="s">
        <v>68</v>
      </c>
      <c r="G846" s="3">
        <v>9</v>
      </c>
      <c r="H846" s="3">
        <v>1720</v>
      </c>
      <c r="I846" s="3">
        <v>15480</v>
      </c>
      <c r="J846" s="3" t="s">
        <v>16</v>
      </c>
      <c r="K846" s="3" t="s">
        <v>56</v>
      </c>
    </row>
    <row r="847" spans="1:11" x14ac:dyDescent="0.3">
      <c r="A847" s="5" t="s">
        <v>1223</v>
      </c>
      <c r="B847" s="6">
        <v>45692</v>
      </c>
      <c r="C847" s="5" t="s">
        <v>260</v>
      </c>
      <c r="D847" s="5" t="s">
        <v>29</v>
      </c>
      <c r="E847" s="5" t="s">
        <v>48</v>
      </c>
      <c r="F847" s="5" t="s">
        <v>49</v>
      </c>
      <c r="G847" s="5">
        <v>3</v>
      </c>
      <c r="H847" s="5">
        <v>8153</v>
      </c>
      <c r="I847" s="5">
        <v>24459</v>
      </c>
      <c r="J847" s="5" t="s">
        <v>35</v>
      </c>
      <c r="K847" s="5" t="s">
        <v>64</v>
      </c>
    </row>
    <row r="848" spans="1:11" x14ac:dyDescent="0.3">
      <c r="A848" s="3" t="s">
        <v>1224</v>
      </c>
      <c r="B848" s="4">
        <v>45976</v>
      </c>
      <c r="C848" s="3" t="s">
        <v>156</v>
      </c>
      <c r="D848" s="3" t="s">
        <v>59</v>
      </c>
      <c r="E848" s="3" t="s">
        <v>113</v>
      </c>
      <c r="F848" s="3" t="s">
        <v>49</v>
      </c>
      <c r="G848" s="3">
        <v>10</v>
      </c>
      <c r="H848" s="3">
        <v>12430</v>
      </c>
      <c r="I848" s="3">
        <v>124300</v>
      </c>
      <c r="J848" s="3" t="s">
        <v>16</v>
      </c>
      <c r="K848" s="3" t="s">
        <v>17</v>
      </c>
    </row>
    <row r="849" spans="1:11" x14ac:dyDescent="0.3">
      <c r="A849" s="5" t="s">
        <v>1225</v>
      </c>
      <c r="B849" s="6">
        <v>45909</v>
      </c>
      <c r="C849" s="5" t="s">
        <v>610</v>
      </c>
      <c r="D849" s="5" t="s">
        <v>55</v>
      </c>
      <c r="E849" s="5" t="s">
        <v>24</v>
      </c>
      <c r="F849" s="5" t="s">
        <v>25</v>
      </c>
      <c r="G849" s="5">
        <v>8</v>
      </c>
      <c r="H849" s="5">
        <v>1128</v>
      </c>
      <c r="I849" s="5">
        <v>9024</v>
      </c>
      <c r="J849" s="5" t="s">
        <v>16</v>
      </c>
      <c r="K849" s="5" t="s">
        <v>56</v>
      </c>
    </row>
    <row r="850" spans="1:11" x14ac:dyDescent="0.3">
      <c r="A850" s="3" t="s">
        <v>1226</v>
      </c>
      <c r="B850" s="4">
        <v>45878</v>
      </c>
      <c r="C850" s="3" t="s">
        <v>1227</v>
      </c>
      <c r="D850" s="3" t="s">
        <v>29</v>
      </c>
      <c r="E850" s="3" t="s">
        <v>60</v>
      </c>
      <c r="F850" s="3" t="s">
        <v>25</v>
      </c>
      <c r="G850" s="3">
        <v>1</v>
      </c>
      <c r="H850" s="3">
        <v>1635</v>
      </c>
      <c r="I850" s="3">
        <v>1635</v>
      </c>
      <c r="J850" s="3" t="s">
        <v>16</v>
      </c>
      <c r="K850" s="3" t="s">
        <v>99</v>
      </c>
    </row>
    <row r="851" spans="1:11" x14ac:dyDescent="0.3">
      <c r="A851" s="5" t="s">
        <v>1228</v>
      </c>
      <c r="B851" s="6">
        <v>45995</v>
      </c>
      <c r="C851" s="5" t="s">
        <v>243</v>
      </c>
      <c r="D851" s="5" t="s">
        <v>29</v>
      </c>
      <c r="E851" s="5" t="s">
        <v>98</v>
      </c>
      <c r="F851" s="5" t="s">
        <v>68</v>
      </c>
      <c r="G851" s="5">
        <v>8</v>
      </c>
      <c r="H851" s="5">
        <v>1632</v>
      </c>
      <c r="I851" s="5">
        <v>13056</v>
      </c>
      <c r="J851" s="5" t="s">
        <v>16</v>
      </c>
      <c r="K851" s="5" t="s">
        <v>36</v>
      </c>
    </row>
    <row r="852" spans="1:11" x14ac:dyDescent="0.3">
      <c r="A852" s="3" t="s">
        <v>1229</v>
      </c>
      <c r="B852" s="4">
        <v>45714</v>
      </c>
      <c r="C852" s="3" t="s">
        <v>160</v>
      </c>
      <c r="D852" s="3" t="s">
        <v>13</v>
      </c>
      <c r="E852" s="3" t="s">
        <v>98</v>
      </c>
      <c r="F852" s="3" t="s">
        <v>68</v>
      </c>
      <c r="G852" s="3">
        <v>3</v>
      </c>
      <c r="H852" s="3">
        <v>1732</v>
      </c>
      <c r="I852" s="3">
        <v>5196</v>
      </c>
      <c r="J852" s="3" t="s">
        <v>16</v>
      </c>
      <c r="K852" s="3" t="s">
        <v>64</v>
      </c>
    </row>
    <row r="853" spans="1:11" x14ac:dyDescent="0.3">
      <c r="A853" s="5" t="s">
        <v>1230</v>
      </c>
      <c r="B853" s="6">
        <v>45738</v>
      </c>
      <c r="C853" s="5" t="s">
        <v>369</v>
      </c>
      <c r="D853" s="5" t="s">
        <v>29</v>
      </c>
      <c r="E853" s="5" t="s">
        <v>60</v>
      </c>
      <c r="F853" s="5" t="s">
        <v>25</v>
      </c>
      <c r="G853" s="5">
        <v>9</v>
      </c>
      <c r="H853" s="5">
        <v>1521</v>
      </c>
      <c r="I853" s="5">
        <v>13689</v>
      </c>
      <c r="J853" s="5" t="s">
        <v>16</v>
      </c>
      <c r="K853" s="5" t="s">
        <v>39</v>
      </c>
    </row>
    <row r="854" spans="1:11" x14ac:dyDescent="0.3">
      <c r="A854" s="3" t="s">
        <v>1231</v>
      </c>
      <c r="B854" s="4">
        <v>45803</v>
      </c>
      <c r="C854" s="3" t="s">
        <v>525</v>
      </c>
      <c r="D854" s="3" t="s">
        <v>29</v>
      </c>
      <c r="E854" s="3" t="s">
        <v>67</v>
      </c>
      <c r="F854" s="3" t="s">
        <v>68</v>
      </c>
      <c r="G854" s="3">
        <v>7</v>
      </c>
      <c r="H854" s="3">
        <v>511</v>
      </c>
      <c r="I854" s="3">
        <v>3577</v>
      </c>
      <c r="J854" s="3" t="s">
        <v>16</v>
      </c>
      <c r="K854" s="3" t="s">
        <v>39</v>
      </c>
    </row>
    <row r="855" spans="1:11" x14ac:dyDescent="0.3">
      <c r="A855" s="5" t="s">
        <v>1232</v>
      </c>
      <c r="B855" s="6">
        <v>45671</v>
      </c>
      <c r="C855" s="5" t="s">
        <v>239</v>
      </c>
      <c r="D855" s="5" t="s">
        <v>59</v>
      </c>
      <c r="E855" s="5" t="s">
        <v>52</v>
      </c>
      <c r="F855" s="5" t="s">
        <v>15</v>
      </c>
      <c r="G855" s="5">
        <v>6</v>
      </c>
      <c r="H855" s="5">
        <v>24244</v>
      </c>
      <c r="I855" s="5">
        <v>145464</v>
      </c>
      <c r="J855" s="5" t="s">
        <v>16</v>
      </c>
      <c r="K855" s="5" t="s">
        <v>61</v>
      </c>
    </row>
    <row r="856" spans="1:11" x14ac:dyDescent="0.3">
      <c r="A856" s="3" t="s">
        <v>1233</v>
      </c>
      <c r="B856" s="4">
        <v>45783</v>
      </c>
      <c r="C856" s="3" t="s">
        <v>118</v>
      </c>
      <c r="D856" s="3" t="s">
        <v>29</v>
      </c>
      <c r="E856" s="3" t="s">
        <v>98</v>
      </c>
      <c r="F856" s="3" t="s">
        <v>68</v>
      </c>
      <c r="G856" s="3">
        <v>6</v>
      </c>
      <c r="H856" s="3">
        <v>1768</v>
      </c>
      <c r="I856" s="3">
        <v>10608</v>
      </c>
      <c r="J856" s="3" t="s">
        <v>16</v>
      </c>
      <c r="K856" s="3" t="s">
        <v>21</v>
      </c>
    </row>
    <row r="857" spans="1:11" x14ac:dyDescent="0.3">
      <c r="A857" s="5" t="s">
        <v>1234</v>
      </c>
      <c r="B857" s="6">
        <v>45744</v>
      </c>
      <c r="C857" s="5" t="s">
        <v>183</v>
      </c>
      <c r="D857" s="5" t="s">
        <v>13</v>
      </c>
      <c r="E857" s="5" t="s">
        <v>80</v>
      </c>
      <c r="F857" s="5" t="s">
        <v>25</v>
      </c>
      <c r="G857" s="5">
        <v>2</v>
      </c>
      <c r="H857" s="5">
        <v>2684</v>
      </c>
      <c r="I857" s="5">
        <v>5368</v>
      </c>
      <c r="J857" s="5" t="s">
        <v>16</v>
      </c>
      <c r="K857" s="5" t="s">
        <v>92</v>
      </c>
    </row>
    <row r="858" spans="1:11" x14ac:dyDescent="0.3">
      <c r="A858" s="3" t="s">
        <v>1235</v>
      </c>
      <c r="B858" s="4">
        <v>45794</v>
      </c>
      <c r="C858" s="3" t="s">
        <v>183</v>
      </c>
      <c r="D858" s="3" t="s">
        <v>59</v>
      </c>
      <c r="E858" s="3" t="s">
        <v>67</v>
      </c>
      <c r="F858" s="3" t="s">
        <v>68</v>
      </c>
      <c r="G858" s="3">
        <v>7</v>
      </c>
      <c r="H858" s="3">
        <v>506</v>
      </c>
      <c r="I858" s="3">
        <v>3542</v>
      </c>
      <c r="J858" s="3" t="s">
        <v>35</v>
      </c>
      <c r="K858" s="3" t="s">
        <v>26</v>
      </c>
    </row>
    <row r="859" spans="1:11" x14ac:dyDescent="0.3">
      <c r="A859" s="5" t="s">
        <v>1236</v>
      </c>
      <c r="B859" s="6">
        <v>45708</v>
      </c>
      <c r="C859" s="5" t="s">
        <v>206</v>
      </c>
      <c r="D859" s="5" t="s">
        <v>29</v>
      </c>
      <c r="E859" s="5" t="s">
        <v>14</v>
      </c>
      <c r="F859" s="5" t="s">
        <v>15</v>
      </c>
      <c r="G859" s="5">
        <v>7</v>
      </c>
      <c r="H859" s="5">
        <v>3042</v>
      </c>
      <c r="I859" s="5">
        <v>21294</v>
      </c>
      <c r="J859" s="5" t="s">
        <v>16</v>
      </c>
      <c r="K859" s="5" t="s">
        <v>17</v>
      </c>
    </row>
    <row r="860" spans="1:11" x14ac:dyDescent="0.3">
      <c r="A860" s="3" t="s">
        <v>1237</v>
      </c>
      <c r="B860" s="4">
        <v>45831</v>
      </c>
      <c r="C860" s="3" t="s">
        <v>709</v>
      </c>
      <c r="D860" s="3" t="s">
        <v>13</v>
      </c>
      <c r="E860" s="3" t="s">
        <v>113</v>
      </c>
      <c r="F860" s="3" t="s">
        <v>49</v>
      </c>
      <c r="G860" s="3">
        <v>8</v>
      </c>
      <c r="H860" s="3">
        <v>12006</v>
      </c>
      <c r="I860" s="3">
        <v>96048</v>
      </c>
      <c r="J860" s="3" t="s">
        <v>16</v>
      </c>
      <c r="K860" s="3" t="s">
        <v>89</v>
      </c>
    </row>
    <row r="861" spans="1:11" x14ac:dyDescent="0.3">
      <c r="A861" s="5" t="s">
        <v>1238</v>
      </c>
      <c r="B861" s="6">
        <v>45696</v>
      </c>
      <c r="C861" s="5" t="s">
        <v>302</v>
      </c>
      <c r="D861" s="5" t="s">
        <v>59</v>
      </c>
      <c r="E861" s="5" t="s">
        <v>73</v>
      </c>
      <c r="F861" s="5" t="s">
        <v>68</v>
      </c>
      <c r="G861" s="5">
        <v>8</v>
      </c>
      <c r="H861" s="5">
        <v>1232</v>
      </c>
      <c r="I861" s="5">
        <v>9856</v>
      </c>
      <c r="J861" s="5" t="s">
        <v>128</v>
      </c>
      <c r="K861" s="5" t="s">
        <v>21</v>
      </c>
    </row>
    <row r="862" spans="1:11" x14ac:dyDescent="0.3">
      <c r="A862" s="3" t="s">
        <v>1239</v>
      </c>
      <c r="B862" s="4">
        <v>45705</v>
      </c>
      <c r="C862" s="3" t="s">
        <v>512</v>
      </c>
      <c r="D862" s="3" t="s">
        <v>59</v>
      </c>
      <c r="E862" s="3" t="s">
        <v>14</v>
      </c>
      <c r="F862" s="3" t="s">
        <v>15</v>
      </c>
      <c r="G862" s="3">
        <v>10</v>
      </c>
      <c r="H862" s="3">
        <v>2941</v>
      </c>
      <c r="I862" s="3">
        <v>29410</v>
      </c>
      <c r="J862" s="3" t="s">
        <v>16</v>
      </c>
      <c r="K862" s="3" t="s">
        <v>17</v>
      </c>
    </row>
    <row r="863" spans="1:11" x14ac:dyDescent="0.3">
      <c r="A863" s="5" t="s">
        <v>1240</v>
      </c>
      <c r="B863" s="6">
        <v>45765</v>
      </c>
      <c r="C863" s="5" t="s">
        <v>1241</v>
      </c>
      <c r="D863" s="5" t="s">
        <v>13</v>
      </c>
      <c r="E863" s="5" t="s">
        <v>30</v>
      </c>
      <c r="F863" s="5" t="s">
        <v>31</v>
      </c>
      <c r="G863" s="5">
        <v>10</v>
      </c>
      <c r="H863" s="5">
        <v>848</v>
      </c>
      <c r="I863" s="5">
        <v>8480</v>
      </c>
      <c r="J863" s="5" t="s">
        <v>16</v>
      </c>
      <c r="K863" s="5" t="s">
        <v>84</v>
      </c>
    </row>
    <row r="864" spans="1:11" x14ac:dyDescent="0.3">
      <c r="A864" s="3" t="s">
        <v>1242</v>
      </c>
      <c r="B864" s="4">
        <v>45760</v>
      </c>
      <c r="C864" s="3" t="s">
        <v>871</v>
      </c>
      <c r="D864" s="3" t="s">
        <v>59</v>
      </c>
      <c r="E864" s="3" t="s">
        <v>34</v>
      </c>
      <c r="F864" s="3" t="s">
        <v>31</v>
      </c>
      <c r="G864" s="3">
        <v>5</v>
      </c>
      <c r="H864" s="3">
        <v>3453</v>
      </c>
      <c r="I864" s="3">
        <v>17265</v>
      </c>
      <c r="J864" s="3" t="s">
        <v>16</v>
      </c>
      <c r="K864" s="3" t="s">
        <v>99</v>
      </c>
    </row>
    <row r="865" spans="1:11" x14ac:dyDescent="0.3">
      <c r="A865" s="5" t="s">
        <v>1243</v>
      </c>
      <c r="B865" s="6">
        <v>46018</v>
      </c>
      <c r="C865" s="5" t="s">
        <v>660</v>
      </c>
      <c r="D865" s="5" t="s">
        <v>59</v>
      </c>
      <c r="E865" s="5" t="s">
        <v>24</v>
      </c>
      <c r="F865" s="5" t="s">
        <v>25</v>
      </c>
      <c r="G865" s="5">
        <v>9</v>
      </c>
      <c r="H865" s="5">
        <v>1123</v>
      </c>
      <c r="I865" s="5">
        <v>10107</v>
      </c>
      <c r="J865" s="5" t="s">
        <v>16</v>
      </c>
      <c r="K865" s="5" t="s">
        <v>42</v>
      </c>
    </row>
    <row r="866" spans="1:11" x14ac:dyDescent="0.3">
      <c r="A866" s="3" t="s">
        <v>1244</v>
      </c>
      <c r="B866" s="4">
        <v>45972</v>
      </c>
      <c r="C866" s="3" t="s">
        <v>1152</v>
      </c>
      <c r="D866" s="3" t="s">
        <v>59</v>
      </c>
      <c r="E866" s="3" t="s">
        <v>73</v>
      </c>
      <c r="F866" s="3" t="s">
        <v>68</v>
      </c>
      <c r="G866" s="3">
        <v>8</v>
      </c>
      <c r="H866" s="3">
        <v>1144</v>
      </c>
      <c r="I866" s="3">
        <v>9152</v>
      </c>
      <c r="J866" s="3" t="s">
        <v>16</v>
      </c>
      <c r="K866" s="3" t="s">
        <v>36</v>
      </c>
    </row>
    <row r="867" spans="1:11" x14ac:dyDescent="0.3">
      <c r="A867" s="5" t="s">
        <v>1245</v>
      </c>
      <c r="B867" s="6">
        <v>46008</v>
      </c>
      <c r="C867" s="5" t="s">
        <v>554</v>
      </c>
      <c r="D867" s="5" t="s">
        <v>13</v>
      </c>
      <c r="E867" s="5" t="s">
        <v>52</v>
      </c>
      <c r="F867" s="5" t="s">
        <v>15</v>
      </c>
      <c r="G867" s="5">
        <v>6</v>
      </c>
      <c r="H867" s="5">
        <v>24812</v>
      </c>
      <c r="I867" s="5">
        <v>148872</v>
      </c>
      <c r="J867" s="5" t="s">
        <v>16</v>
      </c>
      <c r="K867" s="5" t="s">
        <v>42</v>
      </c>
    </row>
    <row r="868" spans="1:11" x14ac:dyDescent="0.3">
      <c r="A868" s="3" t="s">
        <v>1246</v>
      </c>
      <c r="B868" s="4">
        <v>45804</v>
      </c>
      <c r="C868" s="3" t="s">
        <v>486</v>
      </c>
      <c r="D868" s="3" t="s">
        <v>29</v>
      </c>
      <c r="E868" s="3" t="s">
        <v>30</v>
      </c>
      <c r="F868" s="3" t="s">
        <v>31</v>
      </c>
      <c r="G868" s="3">
        <v>4</v>
      </c>
      <c r="H868" s="3">
        <v>855</v>
      </c>
      <c r="I868" s="3">
        <v>3420</v>
      </c>
      <c r="J868" s="3" t="s">
        <v>16</v>
      </c>
      <c r="K868" s="3" t="s">
        <v>81</v>
      </c>
    </row>
    <row r="869" spans="1:11" x14ac:dyDescent="0.3">
      <c r="A869" s="5" t="s">
        <v>1247</v>
      </c>
      <c r="B869" s="6">
        <v>45672</v>
      </c>
      <c r="C869" s="5" t="s">
        <v>1194</v>
      </c>
      <c r="D869" s="5" t="s">
        <v>59</v>
      </c>
      <c r="E869" s="5" t="s">
        <v>80</v>
      </c>
      <c r="F869" s="5" t="s">
        <v>25</v>
      </c>
      <c r="G869" s="5">
        <v>7</v>
      </c>
      <c r="H869" s="5">
        <v>2369</v>
      </c>
      <c r="I869" s="5">
        <v>16583</v>
      </c>
      <c r="J869" s="5" t="s">
        <v>16</v>
      </c>
      <c r="K869" s="5" t="s">
        <v>84</v>
      </c>
    </row>
    <row r="870" spans="1:11" x14ac:dyDescent="0.3">
      <c r="A870" s="3" t="s">
        <v>1248</v>
      </c>
      <c r="B870" s="4">
        <v>45676</v>
      </c>
      <c r="C870" s="3" t="s">
        <v>730</v>
      </c>
      <c r="D870" s="3" t="s">
        <v>55</v>
      </c>
      <c r="E870" s="3" t="s">
        <v>98</v>
      </c>
      <c r="F870" s="3" t="s">
        <v>68</v>
      </c>
      <c r="G870" s="3">
        <v>9</v>
      </c>
      <c r="H870" s="3">
        <v>1976</v>
      </c>
      <c r="I870" s="3">
        <v>17784</v>
      </c>
      <c r="J870" s="3" t="s">
        <v>16</v>
      </c>
      <c r="K870" s="3" t="s">
        <v>81</v>
      </c>
    </row>
    <row r="871" spans="1:11" x14ac:dyDescent="0.3">
      <c r="A871" s="5" t="s">
        <v>1249</v>
      </c>
      <c r="B871" s="6">
        <v>45679</v>
      </c>
      <c r="C871" s="5" t="s">
        <v>177</v>
      </c>
      <c r="D871" s="5" t="s">
        <v>59</v>
      </c>
      <c r="E871" s="5" t="s">
        <v>14</v>
      </c>
      <c r="F871" s="5" t="s">
        <v>15</v>
      </c>
      <c r="G871" s="5">
        <v>5</v>
      </c>
      <c r="H871" s="5">
        <v>3095</v>
      </c>
      <c r="I871" s="5">
        <v>15475</v>
      </c>
      <c r="J871" s="5" t="s">
        <v>16</v>
      </c>
      <c r="K871" s="5" t="s">
        <v>84</v>
      </c>
    </row>
    <row r="872" spans="1:11" x14ac:dyDescent="0.3">
      <c r="A872" s="3" t="s">
        <v>1250</v>
      </c>
      <c r="B872" s="4">
        <v>45866</v>
      </c>
      <c r="C872" s="3" t="s">
        <v>1251</v>
      </c>
      <c r="D872" s="3" t="s">
        <v>59</v>
      </c>
      <c r="E872" s="3" t="s">
        <v>14</v>
      </c>
      <c r="F872" s="3" t="s">
        <v>15</v>
      </c>
      <c r="G872" s="3">
        <v>10</v>
      </c>
      <c r="H872" s="3">
        <v>2878</v>
      </c>
      <c r="I872" s="3">
        <v>28780</v>
      </c>
      <c r="J872" s="3" t="s">
        <v>16</v>
      </c>
      <c r="K872" s="3" t="s">
        <v>64</v>
      </c>
    </row>
    <row r="873" spans="1:11" x14ac:dyDescent="0.3">
      <c r="A873" s="5" t="s">
        <v>1252</v>
      </c>
      <c r="B873" s="6">
        <v>45914</v>
      </c>
      <c r="C873" s="5" t="s">
        <v>764</v>
      </c>
      <c r="D873" s="5" t="s">
        <v>13</v>
      </c>
      <c r="E873" s="5" t="s">
        <v>116</v>
      </c>
      <c r="F873" s="5" t="s">
        <v>15</v>
      </c>
      <c r="G873" s="5">
        <v>3</v>
      </c>
      <c r="H873" s="5">
        <v>7577</v>
      </c>
      <c r="I873" s="5">
        <v>22731</v>
      </c>
      <c r="J873" s="5" t="s">
        <v>16</v>
      </c>
      <c r="K873" s="5" t="s">
        <v>92</v>
      </c>
    </row>
    <row r="874" spans="1:11" x14ac:dyDescent="0.3">
      <c r="A874" s="3" t="s">
        <v>1253</v>
      </c>
      <c r="B874" s="4">
        <v>45965</v>
      </c>
      <c r="C874" s="3" t="s">
        <v>681</v>
      </c>
      <c r="D874" s="3" t="s">
        <v>13</v>
      </c>
      <c r="E874" s="3" t="s">
        <v>60</v>
      </c>
      <c r="F874" s="3" t="s">
        <v>25</v>
      </c>
      <c r="G874" s="3">
        <v>5</v>
      </c>
      <c r="H874" s="3">
        <v>1498</v>
      </c>
      <c r="I874" s="3">
        <v>7490</v>
      </c>
      <c r="J874" s="3" t="s">
        <v>16</v>
      </c>
      <c r="K874" s="3" t="s">
        <v>84</v>
      </c>
    </row>
    <row r="875" spans="1:11" x14ac:dyDescent="0.3">
      <c r="A875" s="5" t="s">
        <v>1254</v>
      </c>
      <c r="B875" s="6">
        <v>45874</v>
      </c>
      <c r="C875" s="5" t="s">
        <v>905</v>
      </c>
      <c r="D875" s="5" t="s">
        <v>55</v>
      </c>
      <c r="E875" s="5" t="s">
        <v>34</v>
      </c>
      <c r="F875" s="5" t="s">
        <v>31</v>
      </c>
      <c r="G875" s="5">
        <v>7</v>
      </c>
      <c r="H875" s="5">
        <v>3714</v>
      </c>
      <c r="I875" s="5">
        <v>25998</v>
      </c>
      <c r="J875" s="5" t="s">
        <v>16</v>
      </c>
      <c r="K875" s="5" t="s">
        <v>81</v>
      </c>
    </row>
    <row r="876" spans="1:11" x14ac:dyDescent="0.3">
      <c r="A876" s="3" t="s">
        <v>1255</v>
      </c>
      <c r="B876" s="4">
        <v>45686</v>
      </c>
      <c r="C876" s="3" t="s">
        <v>325</v>
      </c>
      <c r="D876" s="3" t="s">
        <v>59</v>
      </c>
      <c r="E876" s="3" t="s">
        <v>113</v>
      </c>
      <c r="F876" s="3" t="s">
        <v>49</v>
      </c>
      <c r="G876" s="3">
        <v>8</v>
      </c>
      <c r="H876" s="3">
        <v>11780</v>
      </c>
      <c r="I876" s="3">
        <v>94240</v>
      </c>
      <c r="J876" s="3" t="s">
        <v>16</v>
      </c>
      <c r="K876" s="3" t="s">
        <v>92</v>
      </c>
    </row>
    <row r="877" spans="1:11" x14ac:dyDescent="0.3">
      <c r="A877" s="5" t="s">
        <v>1256</v>
      </c>
      <c r="B877" s="6">
        <v>45800</v>
      </c>
      <c r="C877" s="5" t="s">
        <v>892</v>
      </c>
      <c r="D877" s="5" t="s">
        <v>29</v>
      </c>
      <c r="E877" s="5" t="s">
        <v>14</v>
      </c>
      <c r="F877" s="5" t="s">
        <v>15</v>
      </c>
      <c r="G877" s="5">
        <v>9</v>
      </c>
      <c r="H877" s="5">
        <v>2954</v>
      </c>
      <c r="I877" s="5">
        <v>26586</v>
      </c>
      <c r="J877" s="5" t="s">
        <v>16</v>
      </c>
      <c r="K877" s="5" t="s">
        <v>61</v>
      </c>
    </row>
    <row r="878" spans="1:11" x14ac:dyDescent="0.3">
      <c r="A878" s="3" t="s">
        <v>1257</v>
      </c>
      <c r="B878" s="4">
        <v>45675</v>
      </c>
      <c r="C878" s="3" t="s">
        <v>699</v>
      </c>
      <c r="D878" s="3" t="s">
        <v>29</v>
      </c>
      <c r="E878" s="3" t="s">
        <v>45</v>
      </c>
      <c r="F878" s="3" t="s">
        <v>31</v>
      </c>
      <c r="G878" s="3">
        <v>1</v>
      </c>
      <c r="H878" s="3">
        <v>1852</v>
      </c>
      <c r="I878" s="3">
        <v>1852</v>
      </c>
      <c r="J878" s="3" t="s">
        <v>35</v>
      </c>
      <c r="K878" s="3" t="s">
        <v>84</v>
      </c>
    </row>
    <row r="879" spans="1:11" x14ac:dyDescent="0.3">
      <c r="A879" s="5" t="s">
        <v>1258</v>
      </c>
      <c r="B879" s="6">
        <v>46016</v>
      </c>
      <c r="C879" s="5" t="s">
        <v>255</v>
      </c>
      <c r="D879" s="5" t="s">
        <v>55</v>
      </c>
      <c r="E879" s="5" t="s">
        <v>113</v>
      </c>
      <c r="F879" s="5" t="s">
        <v>49</v>
      </c>
      <c r="G879" s="5">
        <v>9</v>
      </c>
      <c r="H879" s="5">
        <v>11723</v>
      </c>
      <c r="I879" s="5">
        <v>105507</v>
      </c>
      <c r="J879" s="5" t="s">
        <v>16</v>
      </c>
      <c r="K879" s="5" t="s">
        <v>36</v>
      </c>
    </row>
    <row r="880" spans="1:11" x14ac:dyDescent="0.3">
      <c r="A880" s="3" t="s">
        <v>1259</v>
      </c>
      <c r="B880" s="4">
        <v>45859</v>
      </c>
      <c r="C880" s="3" t="s">
        <v>352</v>
      </c>
      <c r="D880" s="3" t="s">
        <v>55</v>
      </c>
      <c r="E880" s="3" t="s">
        <v>52</v>
      </c>
      <c r="F880" s="3" t="s">
        <v>15</v>
      </c>
      <c r="G880" s="3">
        <v>8</v>
      </c>
      <c r="H880" s="3">
        <v>24442</v>
      </c>
      <c r="I880" s="3">
        <v>195536</v>
      </c>
      <c r="J880" s="3" t="s">
        <v>35</v>
      </c>
      <c r="K880" s="3" t="s">
        <v>56</v>
      </c>
    </row>
    <row r="881" spans="1:11" x14ac:dyDescent="0.3">
      <c r="A881" s="5" t="s">
        <v>1260</v>
      </c>
      <c r="B881" s="6">
        <v>45882</v>
      </c>
      <c r="C881" s="5" t="s">
        <v>1261</v>
      </c>
      <c r="D881" s="5" t="s">
        <v>59</v>
      </c>
      <c r="E881" s="5" t="s">
        <v>113</v>
      </c>
      <c r="F881" s="5" t="s">
        <v>49</v>
      </c>
      <c r="G881" s="5">
        <v>4</v>
      </c>
      <c r="H881" s="5">
        <v>12862</v>
      </c>
      <c r="I881" s="5">
        <v>51448</v>
      </c>
      <c r="J881" s="5" t="s">
        <v>16</v>
      </c>
      <c r="K881" s="5" t="s">
        <v>61</v>
      </c>
    </row>
    <row r="882" spans="1:11" x14ac:dyDescent="0.3">
      <c r="A882" s="3" t="s">
        <v>1262</v>
      </c>
      <c r="B882" s="4">
        <v>45909</v>
      </c>
      <c r="C882" s="3" t="s">
        <v>514</v>
      </c>
      <c r="D882" s="3" t="s">
        <v>55</v>
      </c>
      <c r="E882" s="3" t="s">
        <v>73</v>
      </c>
      <c r="F882" s="3" t="s">
        <v>68</v>
      </c>
      <c r="G882" s="3">
        <v>5</v>
      </c>
      <c r="H882" s="3">
        <v>1287</v>
      </c>
      <c r="I882" s="3">
        <v>6435</v>
      </c>
      <c r="J882" s="3" t="s">
        <v>16</v>
      </c>
      <c r="K882" s="3" t="s">
        <v>26</v>
      </c>
    </row>
    <row r="883" spans="1:11" x14ac:dyDescent="0.3">
      <c r="A883" s="5" t="s">
        <v>1263</v>
      </c>
      <c r="B883" s="6">
        <v>45740</v>
      </c>
      <c r="C883" s="5" t="s">
        <v>120</v>
      </c>
      <c r="D883" s="5" t="s">
        <v>29</v>
      </c>
      <c r="E883" s="5" t="s">
        <v>34</v>
      </c>
      <c r="F883" s="5" t="s">
        <v>31</v>
      </c>
      <c r="G883" s="5">
        <v>7</v>
      </c>
      <c r="H883" s="5">
        <v>3763</v>
      </c>
      <c r="I883" s="5">
        <v>26341</v>
      </c>
      <c r="J883" s="5" t="s">
        <v>35</v>
      </c>
      <c r="K883" s="5" t="s">
        <v>92</v>
      </c>
    </row>
    <row r="884" spans="1:11" x14ac:dyDescent="0.3">
      <c r="A884" s="3" t="s">
        <v>1264</v>
      </c>
      <c r="B884" s="4">
        <v>45672</v>
      </c>
      <c r="C884" s="3" t="s">
        <v>952</v>
      </c>
      <c r="D884" s="3" t="s">
        <v>59</v>
      </c>
      <c r="E884" s="3" t="s">
        <v>67</v>
      </c>
      <c r="F884" s="3" t="s">
        <v>68</v>
      </c>
      <c r="G884" s="3">
        <v>9</v>
      </c>
      <c r="H884" s="3">
        <v>523</v>
      </c>
      <c r="I884" s="3">
        <v>4707</v>
      </c>
      <c r="J884" s="3" t="s">
        <v>16</v>
      </c>
      <c r="K884" s="3" t="s">
        <v>64</v>
      </c>
    </row>
    <row r="885" spans="1:11" x14ac:dyDescent="0.3">
      <c r="A885" s="5" t="s">
        <v>1265</v>
      </c>
      <c r="B885" s="6">
        <v>45814</v>
      </c>
      <c r="C885" s="5" t="s">
        <v>1018</v>
      </c>
      <c r="D885" s="5" t="s">
        <v>13</v>
      </c>
      <c r="E885" s="5" t="s">
        <v>67</v>
      </c>
      <c r="F885" s="5" t="s">
        <v>68</v>
      </c>
      <c r="G885" s="5">
        <v>3</v>
      </c>
      <c r="H885" s="5">
        <v>450</v>
      </c>
      <c r="I885" s="5">
        <v>1350</v>
      </c>
      <c r="J885" s="5" t="s">
        <v>16</v>
      </c>
      <c r="K885" s="5" t="s">
        <v>89</v>
      </c>
    </row>
    <row r="886" spans="1:11" x14ac:dyDescent="0.3">
      <c r="A886" s="3" t="s">
        <v>1266</v>
      </c>
      <c r="B886" s="4">
        <v>45990</v>
      </c>
      <c r="C886" s="3" t="s">
        <v>430</v>
      </c>
      <c r="D886" s="3" t="s">
        <v>59</v>
      </c>
      <c r="E886" s="3" t="s">
        <v>108</v>
      </c>
      <c r="F886" s="3" t="s">
        <v>49</v>
      </c>
      <c r="G886" s="3">
        <v>9</v>
      </c>
      <c r="H886" s="3">
        <v>7298</v>
      </c>
      <c r="I886" s="3">
        <v>65682</v>
      </c>
      <c r="J886" s="3" t="s">
        <v>16</v>
      </c>
      <c r="K886" s="3" t="s">
        <v>42</v>
      </c>
    </row>
    <row r="887" spans="1:11" x14ac:dyDescent="0.3">
      <c r="A887" s="5" t="s">
        <v>1267</v>
      </c>
      <c r="B887" s="6">
        <v>45791</v>
      </c>
      <c r="C887" s="5" t="s">
        <v>728</v>
      </c>
      <c r="D887" s="5" t="s">
        <v>13</v>
      </c>
      <c r="E887" s="5" t="s">
        <v>98</v>
      </c>
      <c r="F887" s="5" t="s">
        <v>68</v>
      </c>
      <c r="G887" s="5">
        <v>8</v>
      </c>
      <c r="H887" s="5">
        <v>1792</v>
      </c>
      <c r="I887" s="5">
        <v>14336</v>
      </c>
      <c r="J887" s="5" t="s">
        <v>16</v>
      </c>
      <c r="K887" s="5" t="s">
        <v>64</v>
      </c>
    </row>
    <row r="888" spans="1:11" x14ac:dyDescent="0.3">
      <c r="A888" s="3" t="s">
        <v>1268</v>
      </c>
      <c r="B888" s="4">
        <v>45859</v>
      </c>
      <c r="C888" s="3" t="s">
        <v>516</v>
      </c>
      <c r="D888" s="3" t="s">
        <v>13</v>
      </c>
      <c r="E888" s="3" t="s">
        <v>45</v>
      </c>
      <c r="F888" s="3" t="s">
        <v>31</v>
      </c>
      <c r="G888" s="3">
        <v>4</v>
      </c>
      <c r="H888" s="3">
        <v>1650</v>
      </c>
      <c r="I888" s="3">
        <v>6600</v>
      </c>
      <c r="J888" s="3" t="s">
        <v>16</v>
      </c>
      <c r="K888" s="3" t="s">
        <v>42</v>
      </c>
    </row>
    <row r="889" spans="1:11" x14ac:dyDescent="0.3">
      <c r="A889" s="5" t="s">
        <v>1269</v>
      </c>
      <c r="B889" s="6">
        <v>45978</v>
      </c>
      <c r="C889" s="5" t="s">
        <v>88</v>
      </c>
      <c r="D889" s="5" t="s">
        <v>55</v>
      </c>
      <c r="E889" s="5" t="s">
        <v>108</v>
      </c>
      <c r="F889" s="5" t="s">
        <v>49</v>
      </c>
      <c r="G889" s="5">
        <v>1</v>
      </c>
      <c r="H889" s="5">
        <v>7592</v>
      </c>
      <c r="I889" s="5">
        <v>7592</v>
      </c>
      <c r="J889" s="5" t="s">
        <v>16</v>
      </c>
      <c r="K889" s="5" t="s">
        <v>36</v>
      </c>
    </row>
    <row r="890" spans="1:11" x14ac:dyDescent="0.3">
      <c r="A890" s="3" t="s">
        <v>1270</v>
      </c>
      <c r="B890" s="4">
        <v>45863</v>
      </c>
      <c r="C890" s="3" t="s">
        <v>998</v>
      </c>
      <c r="D890" s="3" t="s">
        <v>59</v>
      </c>
      <c r="E890" s="3" t="s">
        <v>73</v>
      </c>
      <c r="F890" s="3" t="s">
        <v>68</v>
      </c>
      <c r="G890" s="3">
        <v>5</v>
      </c>
      <c r="H890" s="3">
        <v>1248</v>
      </c>
      <c r="I890" s="3">
        <v>6240</v>
      </c>
      <c r="J890" s="3" t="s">
        <v>16</v>
      </c>
      <c r="K890" s="3" t="s">
        <v>99</v>
      </c>
    </row>
    <row r="891" spans="1:11" x14ac:dyDescent="0.3">
      <c r="A891" s="5" t="s">
        <v>1271</v>
      </c>
      <c r="B891" s="6">
        <v>45665</v>
      </c>
      <c r="C891" s="5" t="s">
        <v>910</v>
      </c>
      <c r="D891" s="5" t="s">
        <v>13</v>
      </c>
      <c r="E891" s="5" t="s">
        <v>108</v>
      </c>
      <c r="F891" s="5" t="s">
        <v>49</v>
      </c>
      <c r="G891" s="5">
        <v>6</v>
      </c>
      <c r="H891" s="5">
        <v>6538</v>
      </c>
      <c r="I891" s="5">
        <v>39228</v>
      </c>
      <c r="J891" s="5" t="s">
        <v>16</v>
      </c>
      <c r="K891" s="5" t="s">
        <v>99</v>
      </c>
    </row>
    <row r="892" spans="1:11" x14ac:dyDescent="0.3">
      <c r="A892" s="3" t="s">
        <v>1272</v>
      </c>
      <c r="B892" s="4">
        <v>45755</v>
      </c>
      <c r="C892" s="3" t="s">
        <v>552</v>
      </c>
      <c r="D892" s="3" t="s">
        <v>55</v>
      </c>
      <c r="E892" s="3" t="s">
        <v>67</v>
      </c>
      <c r="F892" s="3" t="s">
        <v>68</v>
      </c>
      <c r="G892" s="3">
        <v>8</v>
      </c>
      <c r="H892" s="3">
        <v>461</v>
      </c>
      <c r="I892" s="3">
        <v>3688</v>
      </c>
      <c r="J892" s="3" t="s">
        <v>16</v>
      </c>
      <c r="K892" s="3" t="s">
        <v>56</v>
      </c>
    </row>
    <row r="893" spans="1:11" x14ac:dyDescent="0.3">
      <c r="A893" s="5" t="s">
        <v>1273</v>
      </c>
      <c r="B893" s="6">
        <v>45802</v>
      </c>
      <c r="C893" s="5" t="s">
        <v>300</v>
      </c>
      <c r="D893" s="5" t="s">
        <v>13</v>
      </c>
      <c r="E893" s="5" t="s">
        <v>73</v>
      </c>
      <c r="F893" s="5" t="s">
        <v>68</v>
      </c>
      <c r="G893" s="5">
        <v>7</v>
      </c>
      <c r="H893" s="5">
        <v>1285</v>
      </c>
      <c r="I893" s="5">
        <v>8995</v>
      </c>
      <c r="J893" s="5" t="s">
        <v>16</v>
      </c>
      <c r="K893" s="5" t="s">
        <v>21</v>
      </c>
    </row>
    <row r="894" spans="1:11" x14ac:dyDescent="0.3">
      <c r="A894" s="3" t="s">
        <v>1274</v>
      </c>
      <c r="B894" s="4">
        <v>45974</v>
      </c>
      <c r="C894" s="3" t="s">
        <v>372</v>
      </c>
      <c r="D894" s="3" t="s">
        <v>29</v>
      </c>
      <c r="E894" s="3" t="s">
        <v>73</v>
      </c>
      <c r="F894" s="3" t="s">
        <v>68</v>
      </c>
      <c r="G894" s="3">
        <v>1</v>
      </c>
      <c r="H894" s="3">
        <v>1149</v>
      </c>
      <c r="I894" s="3">
        <v>1149</v>
      </c>
      <c r="J894" s="3" t="s">
        <v>16</v>
      </c>
      <c r="K894" s="3" t="s">
        <v>36</v>
      </c>
    </row>
    <row r="895" spans="1:11" x14ac:dyDescent="0.3">
      <c r="A895" s="5" t="s">
        <v>1275</v>
      </c>
      <c r="B895" s="6">
        <v>45823</v>
      </c>
      <c r="C895" s="5" t="s">
        <v>273</v>
      </c>
      <c r="D895" s="5" t="s">
        <v>59</v>
      </c>
      <c r="E895" s="5" t="s">
        <v>60</v>
      </c>
      <c r="F895" s="5" t="s">
        <v>25</v>
      </c>
      <c r="G895" s="5">
        <v>8</v>
      </c>
      <c r="H895" s="5">
        <v>1375</v>
      </c>
      <c r="I895" s="5">
        <v>11000</v>
      </c>
      <c r="J895" s="5" t="s">
        <v>16</v>
      </c>
      <c r="K895" s="5" t="s">
        <v>64</v>
      </c>
    </row>
    <row r="896" spans="1:11" x14ac:dyDescent="0.3">
      <c r="A896" s="3" t="s">
        <v>1276</v>
      </c>
      <c r="B896" s="4">
        <v>45706</v>
      </c>
      <c r="C896" s="3" t="s">
        <v>47</v>
      </c>
      <c r="D896" s="3" t="s">
        <v>59</v>
      </c>
      <c r="E896" s="3" t="s">
        <v>67</v>
      </c>
      <c r="F896" s="3" t="s">
        <v>68</v>
      </c>
      <c r="G896" s="3">
        <v>7</v>
      </c>
      <c r="H896" s="3">
        <v>523</v>
      </c>
      <c r="I896" s="3">
        <v>3661</v>
      </c>
      <c r="J896" s="3" t="s">
        <v>16</v>
      </c>
      <c r="K896" s="3" t="s">
        <v>39</v>
      </c>
    </row>
    <row r="897" spans="1:11" x14ac:dyDescent="0.3">
      <c r="A897" s="5" t="s">
        <v>1277</v>
      </c>
      <c r="B897" s="6">
        <v>45964</v>
      </c>
      <c r="C897" s="5" t="s">
        <v>443</v>
      </c>
      <c r="D897" s="5" t="s">
        <v>59</v>
      </c>
      <c r="E897" s="5" t="s">
        <v>113</v>
      </c>
      <c r="F897" s="5" t="s">
        <v>49</v>
      </c>
      <c r="G897" s="5">
        <v>6</v>
      </c>
      <c r="H897" s="5">
        <v>13192</v>
      </c>
      <c r="I897" s="5">
        <v>79152</v>
      </c>
      <c r="J897" s="5" t="s">
        <v>35</v>
      </c>
      <c r="K897" s="5" t="s">
        <v>39</v>
      </c>
    </row>
    <row r="898" spans="1:11" x14ac:dyDescent="0.3">
      <c r="A898" s="3" t="s">
        <v>1278</v>
      </c>
      <c r="B898" s="4">
        <v>45725</v>
      </c>
      <c r="C898" s="3" t="s">
        <v>573</v>
      </c>
      <c r="D898" s="3" t="s">
        <v>59</v>
      </c>
      <c r="E898" s="3" t="s">
        <v>24</v>
      </c>
      <c r="F898" s="3" t="s">
        <v>25</v>
      </c>
      <c r="G898" s="3">
        <v>5</v>
      </c>
      <c r="H898" s="3">
        <v>1314</v>
      </c>
      <c r="I898" s="3">
        <v>6570</v>
      </c>
      <c r="J898" s="3" t="s">
        <v>16</v>
      </c>
      <c r="K898" s="3" t="s">
        <v>39</v>
      </c>
    </row>
    <row r="899" spans="1:11" x14ac:dyDescent="0.3">
      <c r="A899" s="5" t="s">
        <v>1279</v>
      </c>
      <c r="B899" s="6">
        <v>45897</v>
      </c>
      <c r="C899" s="5" t="s">
        <v>296</v>
      </c>
      <c r="D899" s="5" t="s">
        <v>13</v>
      </c>
      <c r="E899" s="5" t="s">
        <v>30</v>
      </c>
      <c r="F899" s="5" t="s">
        <v>31</v>
      </c>
      <c r="G899" s="5">
        <v>9</v>
      </c>
      <c r="H899" s="5">
        <v>798</v>
      </c>
      <c r="I899" s="5">
        <v>7182</v>
      </c>
      <c r="J899" s="5" t="s">
        <v>16</v>
      </c>
      <c r="K899" s="5" t="s">
        <v>17</v>
      </c>
    </row>
    <row r="900" spans="1:11" x14ac:dyDescent="0.3">
      <c r="A900" s="3" t="s">
        <v>1280</v>
      </c>
      <c r="B900" s="4">
        <v>45723</v>
      </c>
      <c r="C900" s="3" t="s">
        <v>260</v>
      </c>
      <c r="D900" s="3" t="s">
        <v>59</v>
      </c>
      <c r="E900" s="3" t="s">
        <v>24</v>
      </c>
      <c r="F900" s="3" t="s">
        <v>25</v>
      </c>
      <c r="G900" s="3">
        <v>3</v>
      </c>
      <c r="H900" s="3">
        <v>1142</v>
      </c>
      <c r="I900" s="3">
        <v>3426</v>
      </c>
      <c r="J900" s="3" t="s">
        <v>16</v>
      </c>
      <c r="K900" s="3" t="s">
        <v>42</v>
      </c>
    </row>
    <row r="901" spans="1:11" x14ac:dyDescent="0.3">
      <c r="A901" s="5" t="s">
        <v>1281</v>
      </c>
      <c r="B901" s="6">
        <v>45792</v>
      </c>
      <c r="C901" s="5" t="s">
        <v>1135</v>
      </c>
      <c r="D901" s="5" t="s">
        <v>55</v>
      </c>
      <c r="E901" s="5" t="s">
        <v>34</v>
      </c>
      <c r="F901" s="5" t="s">
        <v>31</v>
      </c>
      <c r="G901" s="5">
        <v>6</v>
      </c>
      <c r="H901" s="5">
        <v>3798</v>
      </c>
      <c r="I901" s="5">
        <v>22788</v>
      </c>
      <c r="J901" s="5" t="s">
        <v>16</v>
      </c>
      <c r="K901" s="5" t="s">
        <v>42</v>
      </c>
    </row>
    <row r="902" spans="1:11" x14ac:dyDescent="0.3">
      <c r="A902" s="3" t="s">
        <v>1282</v>
      </c>
      <c r="B902" s="4">
        <v>45909</v>
      </c>
      <c r="C902" s="3" t="s">
        <v>367</v>
      </c>
      <c r="D902" s="3" t="s">
        <v>55</v>
      </c>
      <c r="E902" s="3" t="s">
        <v>34</v>
      </c>
      <c r="F902" s="3" t="s">
        <v>31</v>
      </c>
      <c r="G902" s="3">
        <v>6</v>
      </c>
      <c r="H902" s="3">
        <v>3455</v>
      </c>
      <c r="I902" s="3">
        <v>20730</v>
      </c>
      <c r="J902" s="3" t="s">
        <v>16</v>
      </c>
      <c r="K902" s="3" t="s">
        <v>92</v>
      </c>
    </row>
    <row r="903" spans="1:11" x14ac:dyDescent="0.3">
      <c r="A903" s="5" t="s">
        <v>1283</v>
      </c>
      <c r="B903" s="6">
        <v>45676</v>
      </c>
      <c r="C903" s="5" t="s">
        <v>145</v>
      </c>
      <c r="D903" s="5" t="s">
        <v>55</v>
      </c>
      <c r="E903" s="5" t="s">
        <v>73</v>
      </c>
      <c r="F903" s="5" t="s">
        <v>68</v>
      </c>
      <c r="G903" s="5">
        <v>4</v>
      </c>
      <c r="H903" s="5">
        <v>1115</v>
      </c>
      <c r="I903" s="5">
        <v>4460</v>
      </c>
      <c r="J903" s="5" t="s">
        <v>16</v>
      </c>
      <c r="K903" s="5" t="s">
        <v>56</v>
      </c>
    </row>
    <row r="904" spans="1:11" x14ac:dyDescent="0.3">
      <c r="A904" s="3" t="s">
        <v>1284</v>
      </c>
      <c r="B904" s="4">
        <v>45678</v>
      </c>
      <c r="C904" s="3" t="s">
        <v>103</v>
      </c>
      <c r="D904" s="3" t="s">
        <v>59</v>
      </c>
      <c r="E904" s="3" t="s">
        <v>98</v>
      </c>
      <c r="F904" s="3" t="s">
        <v>68</v>
      </c>
      <c r="G904" s="3">
        <v>2</v>
      </c>
      <c r="H904" s="3">
        <v>1978</v>
      </c>
      <c r="I904" s="3">
        <v>3956</v>
      </c>
      <c r="J904" s="3" t="s">
        <v>35</v>
      </c>
      <c r="K904" s="3" t="s">
        <v>61</v>
      </c>
    </row>
    <row r="905" spans="1:11" x14ac:dyDescent="0.3">
      <c r="A905" s="5" t="s">
        <v>1285</v>
      </c>
      <c r="B905" s="6">
        <v>45733</v>
      </c>
      <c r="C905" s="5" t="s">
        <v>33</v>
      </c>
      <c r="D905" s="5" t="s">
        <v>55</v>
      </c>
      <c r="E905" s="5" t="s">
        <v>24</v>
      </c>
      <c r="F905" s="5" t="s">
        <v>25</v>
      </c>
      <c r="G905" s="5">
        <v>8</v>
      </c>
      <c r="H905" s="5">
        <v>1198</v>
      </c>
      <c r="I905" s="5">
        <v>9584</v>
      </c>
      <c r="J905" s="5" t="s">
        <v>16</v>
      </c>
      <c r="K905" s="5" t="s">
        <v>61</v>
      </c>
    </row>
    <row r="906" spans="1:11" x14ac:dyDescent="0.3">
      <c r="A906" s="3" t="s">
        <v>1286</v>
      </c>
      <c r="B906" s="4">
        <v>45946</v>
      </c>
      <c r="C906" s="3" t="s">
        <v>699</v>
      </c>
      <c r="D906" s="3" t="s">
        <v>59</v>
      </c>
      <c r="E906" s="3" t="s">
        <v>30</v>
      </c>
      <c r="F906" s="3" t="s">
        <v>31</v>
      </c>
      <c r="G906" s="3">
        <v>3</v>
      </c>
      <c r="H906" s="3">
        <v>839</v>
      </c>
      <c r="I906" s="3">
        <v>2517</v>
      </c>
      <c r="J906" s="3" t="s">
        <v>16</v>
      </c>
      <c r="K906" s="3" t="s">
        <v>89</v>
      </c>
    </row>
    <row r="907" spans="1:11" x14ac:dyDescent="0.3">
      <c r="A907" s="5" t="s">
        <v>1287</v>
      </c>
      <c r="B907" s="6">
        <v>45913</v>
      </c>
      <c r="C907" s="5" t="s">
        <v>300</v>
      </c>
      <c r="D907" s="5" t="s">
        <v>59</v>
      </c>
      <c r="E907" s="5" t="s">
        <v>52</v>
      </c>
      <c r="F907" s="5" t="s">
        <v>15</v>
      </c>
      <c r="G907" s="5">
        <v>7</v>
      </c>
      <c r="H907" s="5">
        <v>27102</v>
      </c>
      <c r="I907" s="5">
        <v>189714</v>
      </c>
      <c r="J907" s="5" t="s">
        <v>16</v>
      </c>
      <c r="K907" s="5" t="s">
        <v>17</v>
      </c>
    </row>
    <row r="908" spans="1:11" x14ac:dyDescent="0.3">
      <c r="A908" s="3" t="s">
        <v>1288</v>
      </c>
      <c r="B908" s="4">
        <v>45712</v>
      </c>
      <c r="C908" s="3" t="s">
        <v>210</v>
      </c>
      <c r="D908" s="3" t="s">
        <v>55</v>
      </c>
      <c r="E908" s="3" t="s">
        <v>14</v>
      </c>
      <c r="F908" s="3" t="s">
        <v>15</v>
      </c>
      <c r="G908" s="3">
        <v>2</v>
      </c>
      <c r="H908" s="3">
        <v>2936</v>
      </c>
      <c r="I908" s="3">
        <v>5872</v>
      </c>
      <c r="J908" s="3" t="s">
        <v>16</v>
      </c>
      <c r="K908" s="3" t="s">
        <v>81</v>
      </c>
    </row>
    <row r="909" spans="1:11" x14ac:dyDescent="0.3">
      <c r="A909" s="5" t="s">
        <v>1289</v>
      </c>
      <c r="B909" s="6">
        <v>45962</v>
      </c>
      <c r="C909" s="5" t="s">
        <v>340</v>
      </c>
      <c r="D909" s="5" t="s">
        <v>59</v>
      </c>
      <c r="E909" s="5" t="s">
        <v>67</v>
      </c>
      <c r="F909" s="5" t="s">
        <v>68</v>
      </c>
      <c r="G909" s="5">
        <v>8</v>
      </c>
      <c r="H909" s="5">
        <v>495</v>
      </c>
      <c r="I909" s="5">
        <v>3960</v>
      </c>
      <c r="J909" s="5" t="s">
        <v>128</v>
      </c>
      <c r="K909" s="5" t="s">
        <v>39</v>
      </c>
    </row>
    <row r="910" spans="1:11" x14ac:dyDescent="0.3">
      <c r="A910" s="3" t="s">
        <v>1290</v>
      </c>
      <c r="B910" s="4">
        <v>45949</v>
      </c>
      <c r="C910" s="3" t="s">
        <v>430</v>
      </c>
      <c r="D910" s="3" t="s">
        <v>59</v>
      </c>
      <c r="E910" s="3" t="s">
        <v>116</v>
      </c>
      <c r="F910" s="3" t="s">
        <v>15</v>
      </c>
      <c r="G910" s="3">
        <v>6</v>
      </c>
      <c r="H910" s="3">
        <v>8715</v>
      </c>
      <c r="I910" s="3">
        <v>52290</v>
      </c>
      <c r="J910" s="3" t="s">
        <v>128</v>
      </c>
      <c r="K910" s="3" t="s">
        <v>21</v>
      </c>
    </row>
    <row r="911" spans="1:11" x14ac:dyDescent="0.3">
      <c r="A911" s="5" t="s">
        <v>1291</v>
      </c>
      <c r="B911" s="6">
        <v>45966</v>
      </c>
      <c r="C911" s="5" t="s">
        <v>821</v>
      </c>
      <c r="D911" s="5" t="s">
        <v>55</v>
      </c>
      <c r="E911" s="5" t="s">
        <v>45</v>
      </c>
      <c r="F911" s="5" t="s">
        <v>31</v>
      </c>
      <c r="G911" s="5">
        <v>1</v>
      </c>
      <c r="H911" s="5">
        <v>1887</v>
      </c>
      <c r="I911" s="5">
        <v>1887</v>
      </c>
      <c r="J911" s="5" t="s">
        <v>16</v>
      </c>
      <c r="K911" s="5" t="s">
        <v>17</v>
      </c>
    </row>
    <row r="912" spans="1:11" x14ac:dyDescent="0.3">
      <c r="A912" s="3" t="s">
        <v>1292</v>
      </c>
      <c r="B912" s="4">
        <v>45741</v>
      </c>
      <c r="C912" s="3" t="s">
        <v>691</v>
      </c>
      <c r="D912" s="3" t="s">
        <v>29</v>
      </c>
      <c r="E912" s="3" t="s">
        <v>108</v>
      </c>
      <c r="F912" s="3" t="s">
        <v>49</v>
      </c>
      <c r="G912" s="3">
        <v>7</v>
      </c>
      <c r="H912" s="3">
        <v>6424</v>
      </c>
      <c r="I912" s="3">
        <v>44968</v>
      </c>
      <c r="J912" s="3" t="s">
        <v>35</v>
      </c>
      <c r="K912" s="3" t="s">
        <v>84</v>
      </c>
    </row>
    <row r="913" spans="1:11" x14ac:dyDescent="0.3">
      <c r="A913" s="5" t="s">
        <v>1293</v>
      </c>
      <c r="B913" s="6">
        <v>45816</v>
      </c>
      <c r="C913" s="5" t="s">
        <v>533</v>
      </c>
      <c r="D913" s="5" t="s">
        <v>29</v>
      </c>
      <c r="E913" s="5" t="s">
        <v>108</v>
      </c>
      <c r="F913" s="5" t="s">
        <v>49</v>
      </c>
      <c r="G913" s="5">
        <v>5</v>
      </c>
      <c r="H913" s="5">
        <v>6987</v>
      </c>
      <c r="I913" s="5">
        <v>34935</v>
      </c>
      <c r="J913" s="5" t="s">
        <v>16</v>
      </c>
      <c r="K913" s="5" t="s">
        <v>81</v>
      </c>
    </row>
    <row r="914" spans="1:11" x14ac:dyDescent="0.3">
      <c r="A914" s="3" t="s">
        <v>1294</v>
      </c>
      <c r="B914" s="4">
        <v>45856</v>
      </c>
      <c r="C914" s="3" t="s">
        <v>558</v>
      </c>
      <c r="D914" s="3" t="s">
        <v>29</v>
      </c>
      <c r="E914" s="3" t="s">
        <v>14</v>
      </c>
      <c r="F914" s="3" t="s">
        <v>15</v>
      </c>
      <c r="G914" s="3">
        <v>9</v>
      </c>
      <c r="H914" s="3">
        <v>2819</v>
      </c>
      <c r="I914" s="3">
        <v>25371</v>
      </c>
      <c r="J914" s="3" t="s">
        <v>16</v>
      </c>
      <c r="K914" s="3" t="s">
        <v>56</v>
      </c>
    </row>
    <row r="915" spans="1:11" x14ac:dyDescent="0.3">
      <c r="A915" s="5" t="s">
        <v>1295</v>
      </c>
      <c r="B915" s="6">
        <v>45880</v>
      </c>
      <c r="C915" s="5" t="s">
        <v>686</v>
      </c>
      <c r="D915" s="5" t="s">
        <v>13</v>
      </c>
      <c r="E915" s="5" t="s">
        <v>73</v>
      </c>
      <c r="F915" s="5" t="s">
        <v>68</v>
      </c>
      <c r="G915" s="5">
        <v>7</v>
      </c>
      <c r="H915" s="5">
        <v>1274</v>
      </c>
      <c r="I915" s="5">
        <v>8918</v>
      </c>
      <c r="J915" s="5" t="s">
        <v>16</v>
      </c>
      <c r="K915" s="5" t="s">
        <v>99</v>
      </c>
    </row>
    <row r="916" spans="1:11" x14ac:dyDescent="0.3">
      <c r="A916" s="3" t="s">
        <v>1296</v>
      </c>
      <c r="B916" s="4">
        <v>45737</v>
      </c>
      <c r="C916" s="3" t="s">
        <v>251</v>
      </c>
      <c r="D916" s="3" t="s">
        <v>59</v>
      </c>
      <c r="E916" s="3" t="s">
        <v>24</v>
      </c>
      <c r="F916" s="3" t="s">
        <v>25</v>
      </c>
      <c r="G916" s="3">
        <v>8</v>
      </c>
      <c r="H916" s="3">
        <v>1242</v>
      </c>
      <c r="I916" s="3">
        <v>9936</v>
      </c>
      <c r="J916" s="3" t="s">
        <v>16</v>
      </c>
      <c r="K916" s="3" t="s">
        <v>92</v>
      </c>
    </row>
    <row r="917" spans="1:11" x14ac:dyDescent="0.3">
      <c r="A917" s="5" t="s">
        <v>1297</v>
      </c>
      <c r="B917" s="6">
        <v>45902</v>
      </c>
      <c r="C917" s="5" t="s">
        <v>554</v>
      </c>
      <c r="D917" s="5" t="s">
        <v>13</v>
      </c>
      <c r="E917" s="5" t="s">
        <v>80</v>
      </c>
      <c r="F917" s="5" t="s">
        <v>25</v>
      </c>
      <c r="G917" s="5">
        <v>5</v>
      </c>
      <c r="H917" s="5">
        <v>2484</v>
      </c>
      <c r="I917" s="5">
        <v>12420</v>
      </c>
      <c r="J917" s="5" t="s">
        <v>16</v>
      </c>
      <c r="K917" s="5" t="s">
        <v>81</v>
      </c>
    </row>
    <row r="918" spans="1:11" x14ac:dyDescent="0.3">
      <c r="A918" s="3" t="s">
        <v>1298</v>
      </c>
      <c r="B918" s="4">
        <v>45940</v>
      </c>
      <c r="C918" s="3" t="s">
        <v>577</v>
      </c>
      <c r="D918" s="3" t="s">
        <v>55</v>
      </c>
      <c r="E918" s="3" t="s">
        <v>30</v>
      </c>
      <c r="F918" s="3" t="s">
        <v>31</v>
      </c>
      <c r="G918" s="3">
        <v>9</v>
      </c>
      <c r="H918" s="3">
        <v>788</v>
      </c>
      <c r="I918" s="3">
        <v>7092</v>
      </c>
      <c r="J918" s="3" t="s">
        <v>16</v>
      </c>
      <c r="K918" s="3" t="s">
        <v>36</v>
      </c>
    </row>
    <row r="919" spans="1:11" x14ac:dyDescent="0.3">
      <c r="A919" s="5" t="s">
        <v>1299</v>
      </c>
      <c r="B919" s="6">
        <v>45949</v>
      </c>
      <c r="C919" s="5" t="s">
        <v>377</v>
      </c>
      <c r="D919" s="5" t="s">
        <v>59</v>
      </c>
      <c r="E919" s="5" t="s">
        <v>116</v>
      </c>
      <c r="F919" s="5" t="s">
        <v>15</v>
      </c>
      <c r="G919" s="5">
        <v>7</v>
      </c>
      <c r="H919" s="5">
        <v>7351</v>
      </c>
      <c r="I919" s="5">
        <v>51457</v>
      </c>
      <c r="J919" s="5" t="s">
        <v>16</v>
      </c>
      <c r="K919" s="5" t="s">
        <v>61</v>
      </c>
    </row>
    <row r="920" spans="1:11" x14ac:dyDescent="0.3">
      <c r="A920" s="3" t="s">
        <v>1300</v>
      </c>
      <c r="B920" s="4">
        <v>45751</v>
      </c>
      <c r="C920" s="3" t="s">
        <v>465</v>
      </c>
      <c r="D920" s="3" t="s">
        <v>59</v>
      </c>
      <c r="E920" s="3" t="s">
        <v>20</v>
      </c>
      <c r="F920" s="3" t="s">
        <v>15</v>
      </c>
      <c r="G920" s="3">
        <v>2</v>
      </c>
      <c r="H920" s="3">
        <v>57645</v>
      </c>
      <c r="I920" s="3">
        <v>115290</v>
      </c>
      <c r="J920" s="3" t="s">
        <v>16</v>
      </c>
      <c r="K920" s="3" t="s">
        <v>39</v>
      </c>
    </row>
    <row r="921" spans="1:11" x14ac:dyDescent="0.3">
      <c r="A921" s="5" t="s">
        <v>1301</v>
      </c>
      <c r="B921" s="6">
        <v>45888</v>
      </c>
      <c r="C921" s="5" t="s">
        <v>156</v>
      </c>
      <c r="D921" s="5" t="s">
        <v>59</v>
      </c>
      <c r="E921" s="5" t="s">
        <v>45</v>
      </c>
      <c r="F921" s="5" t="s">
        <v>31</v>
      </c>
      <c r="G921" s="5">
        <v>10</v>
      </c>
      <c r="H921" s="5">
        <v>1880</v>
      </c>
      <c r="I921" s="5">
        <v>18800</v>
      </c>
      <c r="J921" s="5" t="s">
        <v>16</v>
      </c>
      <c r="K921" s="5" t="s">
        <v>84</v>
      </c>
    </row>
    <row r="922" spans="1:11" x14ac:dyDescent="0.3">
      <c r="A922" s="3" t="s">
        <v>1302</v>
      </c>
      <c r="B922" s="4">
        <v>45790</v>
      </c>
      <c r="C922" s="3" t="s">
        <v>812</v>
      </c>
      <c r="D922" s="3" t="s">
        <v>59</v>
      </c>
      <c r="E922" s="3" t="s">
        <v>108</v>
      </c>
      <c r="F922" s="3" t="s">
        <v>49</v>
      </c>
      <c r="G922" s="3">
        <v>3</v>
      </c>
      <c r="H922" s="3">
        <v>6409</v>
      </c>
      <c r="I922" s="3">
        <v>19227</v>
      </c>
      <c r="J922" s="3" t="s">
        <v>128</v>
      </c>
      <c r="K922" s="3" t="s">
        <v>17</v>
      </c>
    </row>
    <row r="923" spans="1:11" x14ac:dyDescent="0.3">
      <c r="A923" s="5" t="s">
        <v>1303</v>
      </c>
      <c r="B923" s="6">
        <v>45902</v>
      </c>
      <c r="C923" s="5" t="s">
        <v>355</v>
      </c>
      <c r="D923" s="5" t="s">
        <v>29</v>
      </c>
      <c r="E923" s="5" t="s">
        <v>20</v>
      </c>
      <c r="F923" s="5" t="s">
        <v>15</v>
      </c>
      <c r="G923" s="5">
        <v>7</v>
      </c>
      <c r="H923" s="5">
        <v>50783</v>
      </c>
      <c r="I923" s="5">
        <v>355481</v>
      </c>
      <c r="J923" s="5" t="s">
        <v>16</v>
      </c>
      <c r="K923" s="5" t="s">
        <v>26</v>
      </c>
    </row>
    <row r="924" spans="1:11" x14ac:dyDescent="0.3">
      <c r="A924" s="3" t="s">
        <v>1304</v>
      </c>
      <c r="B924" s="4">
        <v>45973</v>
      </c>
      <c r="C924" s="3" t="s">
        <v>500</v>
      </c>
      <c r="D924" s="3" t="s">
        <v>29</v>
      </c>
      <c r="E924" s="3" t="s">
        <v>60</v>
      </c>
      <c r="F924" s="3" t="s">
        <v>25</v>
      </c>
      <c r="G924" s="3">
        <v>8</v>
      </c>
      <c r="H924" s="3">
        <v>1440</v>
      </c>
      <c r="I924" s="3">
        <v>11520</v>
      </c>
      <c r="J924" s="3" t="s">
        <v>35</v>
      </c>
      <c r="K924" s="3" t="s">
        <v>26</v>
      </c>
    </row>
    <row r="925" spans="1:11" x14ac:dyDescent="0.3">
      <c r="A925" s="5" t="s">
        <v>1305</v>
      </c>
      <c r="B925" s="6">
        <v>45715</v>
      </c>
      <c r="C925" s="5" t="s">
        <v>320</v>
      </c>
      <c r="D925" s="5" t="s">
        <v>13</v>
      </c>
      <c r="E925" s="5" t="s">
        <v>98</v>
      </c>
      <c r="F925" s="5" t="s">
        <v>68</v>
      </c>
      <c r="G925" s="5">
        <v>2</v>
      </c>
      <c r="H925" s="5">
        <v>1665</v>
      </c>
      <c r="I925" s="5">
        <v>3330</v>
      </c>
      <c r="J925" s="5" t="s">
        <v>16</v>
      </c>
      <c r="K925" s="5" t="s">
        <v>26</v>
      </c>
    </row>
    <row r="926" spans="1:11" x14ac:dyDescent="0.3">
      <c r="A926" s="3" t="s">
        <v>1306</v>
      </c>
      <c r="B926" s="4">
        <v>45881</v>
      </c>
      <c r="C926" s="3" t="s">
        <v>239</v>
      </c>
      <c r="D926" s="3" t="s">
        <v>55</v>
      </c>
      <c r="E926" s="3" t="s">
        <v>52</v>
      </c>
      <c r="F926" s="3" t="s">
        <v>15</v>
      </c>
      <c r="G926" s="3">
        <v>8</v>
      </c>
      <c r="H926" s="3">
        <v>25743</v>
      </c>
      <c r="I926" s="3">
        <v>205944</v>
      </c>
      <c r="J926" s="3" t="s">
        <v>16</v>
      </c>
      <c r="K926" s="3" t="s">
        <v>42</v>
      </c>
    </row>
    <row r="927" spans="1:11" x14ac:dyDescent="0.3">
      <c r="A927" s="5" t="s">
        <v>1307</v>
      </c>
      <c r="B927" s="6">
        <v>45874</v>
      </c>
      <c r="C927" s="5" t="s">
        <v>454</v>
      </c>
      <c r="D927" s="5" t="s">
        <v>55</v>
      </c>
      <c r="E927" s="5" t="s">
        <v>108</v>
      </c>
      <c r="F927" s="5" t="s">
        <v>49</v>
      </c>
      <c r="G927" s="5">
        <v>5</v>
      </c>
      <c r="H927" s="5">
        <v>7377</v>
      </c>
      <c r="I927" s="5">
        <v>36885</v>
      </c>
      <c r="J927" s="5" t="s">
        <v>16</v>
      </c>
      <c r="K927" s="5" t="s">
        <v>17</v>
      </c>
    </row>
    <row r="928" spans="1:11" x14ac:dyDescent="0.3">
      <c r="A928" s="3" t="s">
        <v>1308</v>
      </c>
      <c r="B928" s="4">
        <v>45888</v>
      </c>
      <c r="C928" s="3" t="s">
        <v>853</v>
      </c>
      <c r="D928" s="3" t="s">
        <v>59</v>
      </c>
      <c r="E928" s="3" t="s">
        <v>48</v>
      </c>
      <c r="F928" s="3" t="s">
        <v>49</v>
      </c>
      <c r="G928" s="3">
        <v>8</v>
      </c>
      <c r="H928" s="3">
        <v>9834</v>
      </c>
      <c r="I928" s="3">
        <v>78672</v>
      </c>
      <c r="J928" s="3" t="s">
        <v>16</v>
      </c>
      <c r="K928" s="3" t="s">
        <v>21</v>
      </c>
    </row>
    <row r="929" spans="1:11" x14ac:dyDescent="0.3">
      <c r="A929" s="5" t="s">
        <v>1309</v>
      </c>
      <c r="B929" s="6">
        <v>45879</v>
      </c>
      <c r="C929" s="5" t="s">
        <v>871</v>
      </c>
      <c r="D929" s="5" t="s">
        <v>59</v>
      </c>
      <c r="E929" s="5" t="s">
        <v>24</v>
      </c>
      <c r="F929" s="5" t="s">
        <v>25</v>
      </c>
      <c r="G929" s="5">
        <v>1</v>
      </c>
      <c r="H929" s="5">
        <v>1160</v>
      </c>
      <c r="I929" s="5">
        <v>1160</v>
      </c>
      <c r="J929" s="5" t="s">
        <v>16</v>
      </c>
      <c r="K929" s="5" t="s">
        <v>42</v>
      </c>
    </row>
    <row r="930" spans="1:11" x14ac:dyDescent="0.3">
      <c r="A930" s="3" t="s">
        <v>1310</v>
      </c>
      <c r="B930" s="4">
        <v>45862</v>
      </c>
      <c r="C930" s="3" t="s">
        <v>177</v>
      </c>
      <c r="D930" s="3" t="s">
        <v>29</v>
      </c>
      <c r="E930" s="3" t="s">
        <v>60</v>
      </c>
      <c r="F930" s="3" t="s">
        <v>25</v>
      </c>
      <c r="G930" s="3">
        <v>9</v>
      </c>
      <c r="H930" s="3">
        <v>1649</v>
      </c>
      <c r="I930" s="3">
        <v>14841</v>
      </c>
      <c r="J930" s="3" t="s">
        <v>16</v>
      </c>
      <c r="K930" s="3" t="s">
        <v>92</v>
      </c>
    </row>
    <row r="931" spans="1:11" x14ac:dyDescent="0.3">
      <c r="A931" s="5" t="s">
        <v>1311</v>
      </c>
      <c r="B931" s="6">
        <v>45667</v>
      </c>
      <c r="C931" s="5" t="s">
        <v>97</v>
      </c>
      <c r="D931" s="5" t="s">
        <v>13</v>
      </c>
      <c r="E931" s="5" t="s">
        <v>60</v>
      </c>
      <c r="F931" s="5" t="s">
        <v>25</v>
      </c>
      <c r="G931" s="5">
        <v>8</v>
      </c>
      <c r="H931" s="5">
        <v>1419</v>
      </c>
      <c r="I931" s="5">
        <v>11352</v>
      </c>
      <c r="J931" s="5" t="s">
        <v>16</v>
      </c>
      <c r="K931" s="5" t="s">
        <v>89</v>
      </c>
    </row>
    <row r="932" spans="1:11" x14ac:dyDescent="0.3">
      <c r="A932" s="3" t="s">
        <v>1312</v>
      </c>
      <c r="B932" s="4">
        <v>45976</v>
      </c>
      <c r="C932" s="3" t="s">
        <v>486</v>
      </c>
      <c r="D932" s="3" t="s">
        <v>59</v>
      </c>
      <c r="E932" s="3" t="s">
        <v>14</v>
      </c>
      <c r="F932" s="3" t="s">
        <v>15</v>
      </c>
      <c r="G932" s="3">
        <v>7</v>
      </c>
      <c r="H932" s="3">
        <v>3233</v>
      </c>
      <c r="I932" s="3">
        <v>22631</v>
      </c>
      <c r="J932" s="3" t="s">
        <v>16</v>
      </c>
      <c r="K932" s="3" t="s">
        <v>61</v>
      </c>
    </row>
    <row r="933" spans="1:11" x14ac:dyDescent="0.3">
      <c r="A933" s="5" t="s">
        <v>1313</v>
      </c>
      <c r="B933" s="6">
        <v>45834</v>
      </c>
      <c r="C933" s="5" t="s">
        <v>86</v>
      </c>
      <c r="D933" s="5" t="s">
        <v>29</v>
      </c>
      <c r="E933" s="5" t="s">
        <v>73</v>
      </c>
      <c r="F933" s="5" t="s">
        <v>68</v>
      </c>
      <c r="G933" s="5">
        <v>3</v>
      </c>
      <c r="H933" s="5">
        <v>1149</v>
      </c>
      <c r="I933" s="5">
        <v>3447</v>
      </c>
      <c r="J933" s="5" t="s">
        <v>16</v>
      </c>
      <c r="K933" s="5" t="s">
        <v>21</v>
      </c>
    </row>
    <row r="934" spans="1:11" x14ac:dyDescent="0.3">
      <c r="A934" s="3" t="s">
        <v>1314</v>
      </c>
      <c r="B934" s="4">
        <v>45994</v>
      </c>
      <c r="C934" s="3" t="s">
        <v>932</v>
      </c>
      <c r="D934" s="3" t="s">
        <v>29</v>
      </c>
      <c r="E934" s="3" t="s">
        <v>60</v>
      </c>
      <c r="F934" s="3" t="s">
        <v>25</v>
      </c>
      <c r="G934" s="3">
        <v>6</v>
      </c>
      <c r="H934" s="3">
        <v>1626</v>
      </c>
      <c r="I934" s="3">
        <v>9756</v>
      </c>
      <c r="J934" s="3" t="s">
        <v>35</v>
      </c>
      <c r="K934" s="3" t="s">
        <v>81</v>
      </c>
    </row>
    <row r="935" spans="1:11" x14ac:dyDescent="0.3">
      <c r="A935" s="5" t="s">
        <v>1315</v>
      </c>
      <c r="B935" s="6">
        <v>45740</v>
      </c>
      <c r="C935" s="5" t="s">
        <v>400</v>
      </c>
      <c r="D935" s="5" t="s">
        <v>55</v>
      </c>
      <c r="E935" s="5" t="s">
        <v>98</v>
      </c>
      <c r="F935" s="5" t="s">
        <v>68</v>
      </c>
      <c r="G935" s="5">
        <v>6</v>
      </c>
      <c r="H935" s="5">
        <v>1906</v>
      </c>
      <c r="I935" s="5">
        <v>11436</v>
      </c>
      <c r="J935" s="5" t="s">
        <v>16</v>
      </c>
      <c r="K935" s="5" t="s">
        <v>21</v>
      </c>
    </row>
    <row r="936" spans="1:11" x14ac:dyDescent="0.3">
      <c r="A936" s="3" t="s">
        <v>1316</v>
      </c>
      <c r="B936" s="4">
        <v>45909</v>
      </c>
      <c r="C936" s="3" t="s">
        <v>637</v>
      </c>
      <c r="D936" s="3" t="s">
        <v>59</v>
      </c>
      <c r="E936" s="3" t="s">
        <v>116</v>
      </c>
      <c r="F936" s="3" t="s">
        <v>15</v>
      </c>
      <c r="G936" s="3">
        <v>3</v>
      </c>
      <c r="H936" s="3">
        <v>7477</v>
      </c>
      <c r="I936" s="3">
        <v>22431</v>
      </c>
      <c r="J936" s="3" t="s">
        <v>16</v>
      </c>
      <c r="K936" s="3" t="s">
        <v>84</v>
      </c>
    </row>
    <row r="937" spans="1:11" x14ac:dyDescent="0.3">
      <c r="A937" s="5" t="s">
        <v>1317</v>
      </c>
      <c r="B937" s="6">
        <v>45667</v>
      </c>
      <c r="C937" s="5" t="s">
        <v>693</v>
      </c>
      <c r="D937" s="5" t="s">
        <v>29</v>
      </c>
      <c r="E937" s="5" t="s">
        <v>98</v>
      </c>
      <c r="F937" s="5" t="s">
        <v>68</v>
      </c>
      <c r="G937" s="5">
        <v>4</v>
      </c>
      <c r="H937" s="5">
        <v>1695</v>
      </c>
      <c r="I937" s="5">
        <v>6780</v>
      </c>
      <c r="J937" s="5" t="s">
        <v>16</v>
      </c>
      <c r="K937" s="5" t="s">
        <v>36</v>
      </c>
    </row>
    <row r="938" spans="1:11" x14ac:dyDescent="0.3">
      <c r="A938" s="3" t="s">
        <v>1318</v>
      </c>
      <c r="B938" s="4">
        <v>45878</v>
      </c>
      <c r="C938" s="3" t="s">
        <v>348</v>
      </c>
      <c r="D938" s="3" t="s">
        <v>59</v>
      </c>
      <c r="E938" s="3" t="s">
        <v>108</v>
      </c>
      <c r="F938" s="3" t="s">
        <v>49</v>
      </c>
      <c r="G938" s="3">
        <v>9</v>
      </c>
      <c r="H938" s="3">
        <v>6344</v>
      </c>
      <c r="I938" s="3">
        <v>57096</v>
      </c>
      <c r="J938" s="3" t="s">
        <v>16</v>
      </c>
      <c r="K938" s="3" t="s">
        <v>89</v>
      </c>
    </row>
    <row r="939" spans="1:11" x14ac:dyDescent="0.3">
      <c r="A939" s="5" t="s">
        <v>1319</v>
      </c>
      <c r="B939" s="6">
        <v>45839</v>
      </c>
      <c r="C939" s="5" t="s">
        <v>443</v>
      </c>
      <c r="D939" s="5" t="s">
        <v>59</v>
      </c>
      <c r="E939" s="5" t="s">
        <v>80</v>
      </c>
      <c r="F939" s="5" t="s">
        <v>25</v>
      </c>
      <c r="G939" s="5">
        <v>8</v>
      </c>
      <c r="H939" s="5">
        <v>2378</v>
      </c>
      <c r="I939" s="5">
        <v>19024</v>
      </c>
      <c r="J939" s="5" t="s">
        <v>16</v>
      </c>
      <c r="K939" s="5" t="s">
        <v>84</v>
      </c>
    </row>
    <row r="940" spans="1:11" x14ac:dyDescent="0.3">
      <c r="A940" s="3" t="s">
        <v>1320</v>
      </c>
      <c r="B940" s="4">
        <v>45683</v>
      </c>
      <c r="C940" s="3" t="s">
        <v>86</v>
      </c>
      <c r="D940" s="3" t="s">
        <v>55</v>
      </c>
      <c r="E940" s="3" t="s">
        <v>30</v>
      </c>
      <c r="F940" s="3" t="s">
        <v>31</v>
      </c>
      <c r="G940" s="3">
        <v>9</v>
      </c>
      <c r="H940" s="3">
        <v>816</v>
      </c>
      <c r="I940" s="3">
        <v>7344</v>
      </c>
      <c r="J940" s="3" t="s">
        <v>16</v>
      </c>
      <c r="K940" s="3" t="s">
        <v>84</v>
      </c>
    </row>
    <row r="941" spans="1:11" x14ac:dyDescent="0.3">
      <c r="A941" s="5" t="s">
        <v>1321</v>
      </c>
      <c r="B941" s="6">
        <v>45710</v>
      </c>
      <c r="C941" s="5" t="s">
        <v>19</v>
      </c>
      <c r="D941" s="5" t="s">
        <v>29</v>
      </c>
      <c r="E941" s="5" t="s">
        <v>20</v>
      </c>
      <c r="F941" s="5" t="s">
        <v>15</v>
      </c>
      <c r="G941" s="5">
        <v>10</v>
      </c>
      <c r="H941" s="5">
        <v>56206</v>
      </c>
      <c r="I941" s="5">
        <v>562060</v>
      </c>
      <c r="J941" s="5" t="s">
        <v>35</v>
      </c>
      <c r="K941" s="5" t="s">
        <v>39</v>
      </c>
    </row>
    <row r="942" spans="1:11" x14ac:dyDescent="0.3">
      <c r="A942" s="3" t="s">
        <v>1322</v>
      </c>
      <c r="B942" s="4">
        <v>45738</v>
      </c>
      <c r="C942" s="3" t="s">
        <v>237</v>
      </c>
      <c r="D942" s="3" t="s">
        <v>29</v>
      </c>
      <c r="E942" s="3" t="s">
        <v>48</v>
      </c>
      <c r="F942" s="3" t="s">
        <v>49</v>
      </c>
      <c r="G942" s="3">
        <v>2</v>
      </c>
      <c r="H942" s="3">
        <v>9667</v>
      </c>
      <c r="I942" s="3">
        <v>19334</v>
      </c>
      <c r="J942" s="3" t="s">
        <v>35</v>
      </c>
      <c r="K942" s="3" t="s">
        <v>26</v>
      </c>
    </row>
    <row r="943" spans="1:11" x14ac:dyDescent="0.3">
      <c r="A943" s="5" t="s">
        <v>1323</v>
      </c>
      <c r="B943" s="6">
        <v>45728</v>
      </c>
      <c r="C943" s="5" t="s">
        <v>681</v>
      </c>
      <c r="D943" s="5" t="s">
        <v>29</v>
      </c>
      <c r="E943" s="5" t="s">
        <v>24</v>
      </c>
      <c r="F943" s="5" t="s">
        <v>25</v>
      </c>
      <c r="G943" s="5">
        <v>2</v>
      </c>
      <c r="H943" s="5">
        <v>1117</v>
      </c>
      <c r="I943" s="5">
        <v>2234</v>
      </c>
      <c r="J943" s="5" t="s">
        <v>16</v>
      </c>
      <c r="K943" s="5" t="s">
        <v>42</v>
      </c>
    </row>
    <row r="944" spans="1:11" x14ac:dyDescent="0.3">
      <c r="A944" s="3" t="s">
        <v>1324</v>
      </c>
      <c r="B944" s="4">
        <v>45804</v>
      </c>
      <c r="C944" s="3" t="s">
        <v>610</v>
      </c>
      <c r="D944" s="3" t="s">
        <v>59</v>
      </c>
      <c r="E944" s="3" t="s">
        <v>73</v>
      </c>
      <c r="F944" s="3" t="s">
        <v>68</v>
      </c>
      <c r="G944" s="3">
        <v>4</v>
      </c>
      <c r="H944" s="3">
        <v>1280</v>
      </c>
      <c r="I944" s="3">
        <v>5120</v>
      </c>
      <c r="J944" s="3" t="s">
        <v>16</v>
      </c>
      <c r="K944" s="3" t="s">
        <v>81</v>
      </c>
    </row>
    <row r="945" spans="1:11" x14ac:dyDescent="0.3">
      <c r="A945" s="5" t="s">
        <v>1325</v>
      </c>
      <c r="B945" s="6">
        <v>45735</v>
      </c>
      <c r="C945" s="5" t="s">
        <v>75</v>
      </c>
      <c r="D945" s="5" t="s">
        <v>59</v>
      </c>
      <c r="E945" s="5" t="s">
        <v>34</v>
      </c>
      <c r="F945" s="5" t="s">
        <v>31</v>
      </c>
      <c r="G945" s="5">
        <v>7</v>
      </c>
      <c r="H945" s="5">
        <v>3402</v>
      </c>
      <c r="I945" s="5">
        <v>23814</v>
      </c>
      <c r="J945" s="5" t="s">
        <v>16</v>
      </c>
      <c r="K945" s="5" t="s">
        <v>99</v>
      </c>
    </row>
    <row r="946" spans="1:11" x14ac:dyDescent="0.3">
      <c r="A946" s="3" t="s">
        <v>1326</v>
      </c>
      <c r="B946" s="4">
        <v>45922</v>
      </c>
      <c r="C946" s="3" t="s">
        <v>281</v>
      </c>
      <c r="D946" s="3" t="s">
        <v>55</v>
      </c>
      <c r="E946" s="3" t="s">
        <v>113</v>
      </c>
      <c r="F946" s="3" t="s">
        <v>49</v>
      </c>
      <c r="G946" s="3">
        <v>7</v>
      </c>
      <c r="H946" s="3">
        <v>13003</v>
      </c>
      <c r="I946" s="3">
        <v>91021</v>
      </c>
      <c r="J946" s="3" t="s">
        <v>16</v>
      </c>
      <c r="K946" s="3" t="s">
        <v>61</v>
      </c>
    </row>
    <row r="947" spans="1:11" x14ac:dyDescent="0.3">
      <c r="A947" s="5" t="s">
        <v>1327</v>
      </c>
      <c r="B947" s="6">
        <v>45693</v>
      </c>
      <c r="C947" s="5" t="s">
        <v>403</v>
      </c>
      <c r="D947" s="5" t="s">
        <v>55</v>
      </c>
      <c r="E947" s="5" t="s">
        <v>73</v>
      </c>
      <c r="F947" s="5" t="s">
        <v>68</v>
      </c>
      <c r="G947" s="5">
        <v>1</v>
      </c>
      <c r="H947" s="5">
        <v>1252</v>
      </c>
      <c r="I947" s="5">
        <v>1252</v>
      </c>
      <c r="J947" s="5" t="s">
        <v>16</v>
      </c>
      <c r="K947" s="5" t="s">
        <v>61</v>
      </c>
    </row>
    <row r="948" spans="1:11" x14ac:dyDescent="0.3">
      <c r="A948" s="3" t="s">
        <v>1328</v>
      </c>
      <c r="B948" s="4">
        <v>45986</v>
      </c>
      <c r="C948" s="3" t="s">
        <v>367</v>
      </c>
      <c r="D948" s="3" t="s">
        <v>59</v>
      </c>
      <c r="E948" s="3" t="s">
        <v>113</v>
      </c>
      <c r="F948" s="3" t="s">
        <v>49</v>
      </c>
      <c r="G948" s="3">
        <v>1</v>
      </c>
      <c r="H948" s="3">
        <v>11743</v>
      </c>
      <c r="I948" s="3">
        <v>11743</v>
      </c>
      <c r="J948" s="3" t="s">
        <v>16</v>
      </c>
      <c r="K948" s="3" t="s">
        <v>36</v>
      </c>
    </row>
    <row r="949" spans="1:11" x14ac:dyDescent="0.3">
      <c r="A949" s="5" t="s">
        <v>1329</v>
      </c>
      <c r="B949" s="6">
        <v>45941</v>
      </c>
      <c r="C949" s="5" t="s">
        <v>243</v>
      </c>
      <c r="D949" s="5" t="s">
        <v>13</v>
      </c>
      <c r="E949" s="5" t="s">
        <v>24</v>
      </c>
      <c r="F949" s="5" t="s">
        <v>25</v>
      </c>
      <c r="G949" s="5">
        <v>7</v>
      </c>
      <c r="H949" s="5">
        <v>1176</v>
      </c>
      <c r="I949" s="5">
        <v>8232</v>
      </c>
      <c r="J949" s="5" t="s">
        <v>16</v>
      </c>
      <c r="K949" s="5" t="s">
        <v>26</v>
      </c>
    </row>
    <row r="950" spans="1:11" x14ac:dyDescent="0.3">
      <c r="A950" s="3" t="s">
        <v>1330</v>
      </c>
      <c r="B950" s="4">
        <v>45733</v>
      </c>
      <c r="C950" s="3" t="s">
        <v>1331</v>
      </c>
      <c r="D950" s="3" t="s">
        <v>13</v>
      </c>
      <c r="E950" s="3" t="s">
        <v>30</v>
      </c>
      <c r="F950" s="3" t="s">
        <v>31</v>
      </c>
      <c r="G950" s="3">
        <v>5</v>
      </c>
      <c r="H950" s="3">
        <v>864</v>
      </c>
      <c r="I950" s="3">
        <v>4320</v>
      </c>
      <c r="J950" s="3" t="s">
        <v>16</v>
      </c>
      <c r="K950" s="3" t="s">
        <v>95</v>
      </c>
    </row>
    <row r="951" spans="1:11" x14ac:dyDescent="0.3">
      <c r="A951" s="5" t="s">
        <v>1332</v>
      </c>
      <c r="B951" s="6">
        <v>45990</v>
      </c>
      <c r="C951" s="5" t="s">
        <v>447</v>
      </c>
      <c r="D951" s="5" t="s">
        <v>13</v>
      </c>
      <c r="E951" s="5" t="s">
        <v>60</v>
      </c>
      <c r="F951" s="5" t="s">
        <v>25</v>
      </c>
      <c r="G951" s="5">
        <v>10</v>
      </c>
      <c r="H951" s="5">
        <v>1545</v>
      </c>
      <c r="I951" s="5">
        <v>15450</v>
      </c>
      <c r="J951" s="5" t="s">
        <v>16</v>
      </c>
      <c r="K951" s="5" t="s">
        <v>84</v>
      </c>
    </row>
    <row r="952" spans="1:11" x14ac:dyDescent="0.3">
      <c r="A952" s="3" t="s">
        <v>1333</v>
      </c>
      <c r="B952" s="4">
        <v>45722</v>
      </c>
      <c r="C952" s="3" t="s">
        <v>1020</v>
      </c>
      <c r="D952" s="3" t="s">
        <v>59</v>
      </c>
      <c r="E952" s="3" t="s">
        <v>30</v>
      </c>
      <c r="F952" s="3" t="s">
        <v>31</v>
      </c>
      <c r="G952" s="3">
        <v>1</v>
      </c>
      <c r="H952" s="3">
        <v>805</v>
      </c>
      <c r="I952" s="3">
        <v>805</v>
      </c>
      <c r="J952" s="3" t="s">
        <v>16</v>
      </c>
      <c r="K952" s="3" t="s">
        <v>92</v>
      </c>
    </row>
    <row r="953" spans="1:11" x14ac:dyDescent="0.3">
      <c r="A953" s="5" t="s">
        <v>1334</v>
      </c>
      <c r="B953" s="6">
        <v>45669</v>
      </c>
      <c r="C953" s="5" t="s">
        <v>187</v>
      </c>
      <c r="D953" s="5" t="s">
        <v>59</v>
      </c>
      <c r="E953" s="5" t="s">
        <v>14</v>
      </c>
      <c r="F953" s="5" t="s">
        <v>15</v>
      </c>
      <c r="G953" s="5">
        <v>9</v>
      </c>
      <c r="H953" s="5">
        <v>2904</v>
      </c>
      <c r="I953" s="5">
        <v>26136</v>
      </c>
      <c r="J953" s="5" t="s">
        <v>16</v>
      </c>
      <c r="K953" s="5" t="s">
        <v>36</v>
      </c>
    </row>
    <row r="954" spans="1:11" x14ac:dyDescent="0.3">
      <c r="A954" s="3" t="s">
        <v>1335</v>
      </c>
      <c r="B954" s="4">
        <v>45874</v>
      </c>
      <c r="C954" s="3" t="s">
        <v>610</v>
      </c>
      <c r="D954" s="3" t="s">
        <v>55</v>
      </c>
      <c r="E954" s="3" t="s">
        <v>24</v>
      </c>
      <c r="F954" s="3" t="s">
        <v>25</v>
      </c>
      <c r="G954" s="3">
        <v>4</v>
      </c>
      <c r="H954" s="3">
        <v>1279</v>
      </c>
      <c r="I954" s="3">
        <v>5116</v>
      </c>
      <c r="J954" s="3" t="s">
        <v>16</v>
      </c>
      <c r="K954" s="3" t="s">
        <v>17</v>
      </c>
    </row>
    <row r="955" spans="1:11" x14ac:dyDescent="0.3">
      <c r="A955" s="5" t="s">
        <v>1336</v>
      </c>
      <c r="B955" s="6">
        <v>45991</v>
      </c>
      <c r="C955" s="5" t="s">
        <v>33</v>
      </c>
      <c r="D955" s="5" t="s">
        <v>13</v>
      </c>
      <c r="E955" s="5" t="s">
        <v>45</v>
      </c>
      <c r="F955" s="5" t="s">
        <v>31</v>
      </c>
      <c r="G955" s="5">
        <v>9</v>
      </c>
      <c r="H955" s="5">
        <v>1747</v>
      </c>
      <c r="I955" s="5">
        <v>15723</v>
      </c>
      <c r="J955" s="5" t="s">
        <v>16</v>
      </c>
      <c r="K955" s="5" t="s">
        <v>95</v>
      </c>
    </row>
    <row r="956" spans="1:11" x14ac:dyDescent="0.3">
      <c r="A956" s="3" t="s">
        <v>1337</v>
      </c>
      <c r="B956" s="4">
        <v>45955</v>
      </c>
      <c r="C956" s="3" t="s">
        <v>315</v>
      </c>
      <c r="D956" s="3" t="s">
        <v>59</v>
      </c>
      <c r="E956" s="3" t="s">
        <v>116</v>
      </c>
      <c r="F956" s="3" t="s">
        <v>15</v>
      </c>
      <c r="G956" s="3">
        <v>6</v>
      </c>
      <c r="H956" s="3">
        <v>8772</v>
      </c>
      <c r="I956" s="3">
        <v>52632</v>
      </c>
      <c r="J956" s="3" t="s">
        <v>16</v>
      </c>
      <c r="K956" s="3" t="s">
        <v>26</v>
      </c>
    </row>
    <row r="957" spans="1:11" x14ac:dyDescent="0.3">
      <c r="A957" s="5" t="s">
        <v>1338</v>
      </c>
      <c r="B957" s="6">
        <v>45951</v>
      </c>
      <c r="C957" s="5" t="s">
        <v>812</v>
      </c>
      <c r="D957" s="5" t="s">
        <v>55</v>
      </c>
      <c r="E957" s="5" t="s">
        <v>60</v>
      </c>
      <c r="F957" s="5" t="s">
        <v>25</v>
      </c>
      <c r="G957" s="5">
        <v>4</v>
      </c>
      <c r="H957" s="5">
        <v>1455</v>
      </c>
      <c r="I957" s="5">
        <v>5820</v>
      </c>
      <c r="J957" s="5" t="s">
        <v>16</v>
      </c>
      <c r="K957" s="5" t="s">
        <v>81</v>
      </c>
    </row>
    <row r="958" spans="1:11" x14ac:dyDescent="0.3">
      <c r="A958" s="3" t="s">
        <v>1339</v>
      </c>
      <c r="B958" s="4">
        <v>45756</v>
      </c>
      <c r="C958" s="3" t="s">
        <v>500</v>
      </c>
      <c r="D958" s="3" t="s">
        <v>13</v>
      </c>
      <c r="E958" s="3" t="s">
        <v>60</v>
      </c>
      <c r="F958" s="3" t="s">
        <v>25</v>
      </c>
      <c r="G958" s="3">
        <v>4</v>
      </c>
      <c r="H958" s="3">
        <v>1381</v>
      </c>
      <c r="I958" s="3">
        <v>5524</v>
      </c>
      <c r="J958" s="3" t="s">
        <v>16</v>
      </c>
      <c r="K958" s="3" t="s">
        <v>95</v>
      </c>
    </row>
    <row r="959" spans="1:11" x14ac:dyDescent="0.3">
      <c r="A959" s="5" t="s">
        <v>1340</v>
      </c>
      <c r="B959" s="6">
        <v>45724</v>
      </c>
      <c r="C959" s="5" t="s">
        <v>558</v>
      </c>
      <c r="D959" s="5" t="s">
        <v>59</v>
      </c>
      <c r="E959" s="5" t="s">
        <v>98</v>
      </c>
      <c r="F959" s="5" t="s">
        <v>68</v>
      </c>
      <c r="G959" s="5">
        <v>2</v>
      </c>
      <c r="H959" s="5">
        <v>1653</v>
      </c>
      <c r="I959" s="5">
        <v>3306</v>
      </c>
      <c r="J959" s="5" t="s">
        <v>16</v>
      </c>
      <c r="K959" s="5" t="s">
        <v>21</v>
      </c>
    </row>
    <row r="960" spans="1:11" x14ac:dyDescent="0.3">
      <c r="A960" s="3" t="s">
        <v>1341</v>
      </c>
      <c r="B960" s="4">
        <v>45860</v>
      </c>
      <c r="C960" s="3" t="s">
        <v>458</v>
      </c>
      <c r="D960" s="3" t="s">
        <v>29</v>
      </c>
      <c r="E960" s="3" t="s">
        <v>34</v>
      </c>
      <c r="F960" s="3" t="s">
        <v>31</v>
      </c>
      <c r="G960" s="3">
        <v>9</v>
      </c>
      <c r="H960" s="3">
        <v>3431</v>
      </c>
      <c r="I960" s="3">
        <v>30879</v>
      </c>
      <c r="J960" s="3" t="s">
        <v>16</v>
      </c>
      <c r="K960" s="3" t="s">
        <v>89</v>
      </c>
    </row>
    <row r="961" spans="1:11" x14ac:dyDescent="0.3">
      <c r="A961" s="5" t="s">
        <v>1342</v>
      </c>
      <c r="B961" s="6">
        <v>45741</v>
      </c>
      <c r="C961" s="5" t="s">
        <v>54</v>
      </c>
      <c r="D961" s="5" t="s">
        <v>29</v>
      </c>
      <c r="E961" s="5" t="s">
        <v>98</v>
      </c>
      <c r="F961" s="5" t="s">
        <v>68</v>
      </c>
      <c r="G961" s="5">
        <v>8</v>
      </c>
      <c r="H961" s="5">
        <v>1883</v>
      </c>
      <c r="I961" s="5">
        <v>15064</v>
      </c>
      <c r="J961" s="5" t="s">
        <v>16</v>
      </c>
      <c r="K961" s="5" t="s">
        <v>92</v>
      </c>
    </row>
    <row r="962" spans="1:11" x14ac:dyDescent="0.3">
      <c r="A962" s="3" t="s">
        <v>1343</v>
      </c>
      <c r="B962" s="4">
        <v>45766</v>
      </c>
      <c r="C962" s="3" t="s">
        <v>168</v>
      </c>
      <c r="D962" s="3" t="s">
        <v>59</v>
      </c>
      <c r="E962" s="3" t="s">
        <v>73</v>
      </c>
      <c r="F962" s="3" t="s">
        <v>68</v>
      </c>
      <c r="G962" s="3">
        <v>9</v>
      </c>
      <c r="H962" s="3">
        <v>1287</v>
      </c>
      <c r="I962" s="3">
        <v>11583</v>
      </c>
      <c r="J962" s="3" t="s">
        <v>16</v>
      </c>
      <c r="K962" s="3" t="s">
        <v>95</v>
      </c>
    </row>
    <row r="963" spans="1:11" x14ac:dyDescent="0.3">
      <c r="A963" s="5" t="s">
        <v>1344</v>
      </c>
      <c r="B963" s="6">
        <v>45867</v>
      </c>
      <c r="C963" s="5" t="s">
        <v>318</v>
      </c>
      <c r="D963" s="5" t="s">
        <v>59</v>
      </c>
      <c r="E963" s="5" t="s">
        <v>48</v>
      </c>
      <c r="F963" s="5" t="s">
        <v>49</v>
      </c>
      <c r="G963" s="5">
        <v>6</v>
      </c>
      <c r="H963" s="5">
        <v>9759</v>
      </c>
      <c r="I963" s="5">
        <v>58554</v>
      </c>
      <c r="J963" s="5" t="s">
        <v>16</v>
      </c>
      <c r="K963" s="5" t="s">
        <v>17</v>
      </c>
    </row>
    <row r="964" spans="1:11" x14ac:dyDescent="0.3">
      <c r="A964" s="3" t="s">
        <v>1345</v>
      </c>
      <c r="B964" s="4">
        <v>45849</v>
      </c>
      <c r="C964" s="3" t="s">
        <v>243</v>
      </c>
      <c r="D964" s="3" t="s">
        <v>29</v>
      </c>
      <c r="E964" s="3" t="s">
        <v>30</v>
      </c>
      <c r="F964" s="3" t="s">
        <v>31</v>
      </c>
      <c r="G964" s="3">
        <v>9</v>
      </c>
      <c r="H964" s="3">
        <v>744</v>
      </c>
      <c r="I964" s="3">
        <v>6696</v>
      </c>
      <c r="J964" s="3" t="s">
        <v>16</v>
      </c>
      <c r="K964" s="3" t="s">
        <v>56</v>
      </c>
    </row>
    <row r="965" spans="1:11" x14ac:dyDescent="0.3">
      <c r="A965" s="5" t="s">
        <v>1346</v>
      </c>
      <c r="B965" s="6">
        <v>45814</v>
      </c>
      <c r="C965" s="5" t="s">
        <v>126</v>
      </c>
      <c r="D965" s="5" t="s">
        <v>29</v>
      </c>
      <c r="E965" s="5" t="s">
        <v>108</v>
      </c>
      <c r="F965" s="5" t="s">
        <v>49</v>
      </c>
      <c r="G965" s="5">
        <v>10</v>
      </c>
      <c r="H965" s="5">
        <v>6890</v>
      </c>
      <c r="I965" s="5">
        <v>68900</v>
      </c>
      <c r="J965" s="5" t="s">
        <v>128</v>
      </c>
      <c r="K965" s="5" t="s">
        <v>21</v>
      </c>
    </row>
    <row r="966" spans="1:11" x14ac:dyDescent="0.3">
      <c r="A966" s="3" t="s">
        <v>1347</v>
      </c>
      <c r="B966" s="4">
        <v>45680</v>
      </c>
      <c r="C966" s="3" t="s">
        <v>1086</v>
      </c>
      <c r="D966" s="3" t="s">
        <v>59</v>
      </c>
      <c r="E966" s="3" t="s">
        <v>73</v>
      </c>
      <c r="F966" s="3" t="s">
        <v>68</v>
      </c>
      <c r="G966" s="3">
        <v>2</v>
      </c>
      <c r="H966" s="3">
        <v>1211</v>
      </c>
      <c r="I966" s="3">
        <v>2422</v>
      </c>
      <c r="J966" s="3" t="s">
        <v>16</v>
      </c>
      <c r="K966" s="3" t="s">
        <v>95</v>
      </c>
    </row>
    <row r="967" spans="1:11" x14ac:dyDescent="0.3">
      <c r="A967" s="5" t="s">
        <v>1348</v>
      </c>
      <c r="B967" s="6">
        <v>45968</v>
      </c>
      <c r="C967" s="5" t="s">
        <v>296</v>
      </c>
      <c r="D967" s="5" t="s">
        <v>13</v>
      </c>
      <c r="E967" s="5" t="s">
        <v>24</v>
      </c>
      <c r="F967" s="5" t="s">
        <v>25</v>
      </c>
      <c r="G967" s="5">
        <v>6</v>
      </c>
      <c r="H967" s="5">
        <v>1267</v>
      </c>
      <c r="I967" s="5">
        <v>7602</v>
      </c>
      <c r="J967" s="5" t="s">
        <v>16</v>
      </c>
      <c r="K967" s="5" t="s">
        <v>84</v>
      </c>
    </row>
    <row r="968" spans="1:11" x14ac:dyDescent="0.3">
      <c r="A968" s="3" t="s">
        <v>1349</v>
      </c>
      <c r="B968" s="4">
        <v>45703</v>
      </c>
      <c r="C968" s="3" t="s">
        <v>156</v>
      </c>
      <c r="D968" s="3" t="s">
        <v>59</v>
      </c>
      <c r="E968" s="3" t="s">
        <v>98</v>
      </c>
      <c r="F968" s="3" t="s">
        <v>68</v>
      </c>
      <c r="G968" s="3">
        <v>8</v>
      </c>
      <c r="H968" s="3">
        <v>1673</v>
      </c>
      <c r="I968" s="3">
        <v>13384</v>
      </c>
      <c r="J968" s="3" t="s">
        <v>16</v>
      </c>
      <c r="K968" s="3" t="s">
        <v>64</v>
      </c>
    </row>
    <row r="969" spans="1:11" x14ac:dyDescent="0.3">
      <c r="A969" s="5" t="s">
        <v>1350</v>
      </c>
      <c r="B969" s="6">
        <v>46001</v>
      </c>
      <c r="C969" s="5" t="s">
        <v>103</v>
      </c>
      <c r="D969" s="5" t="s">
        <v>13</v>
      </c>
      <c r="E969" s="5" t="s">
        <v>73</v>
      </c>
      <c r="F969" s="5" t="s">
        <v>68</v>
      </c>
      <c r="G969" s="5">
        <v>7</v>
      </c>
      <c r="H969" s="5">
        <v>1161</v>
      </c>
      <c r="I969" s="5">
        <v>8127</v>
      </c>
      <c r="J969" s="5" t="s">
        <v>16</v>
      </c>
      <c r="K969" s="5" t="s">
        <v>26</v>
      </c>
    </row>
    <row r="970" spans="1:11" x14ac:dyDescent="0.3">
      <c r="A970" s="3" t="s">
        <v>1351</v>
      </c>
      <c r="B970" s="4">
        <v>46020</v>
      </c>
      <c r="C970" s="3" t="s">
        <v>166</v>
      </c>
      <c r="D970" s="3" t="s">
        <v>59</v>
      </c>
      <c r="E970" s="3" t="s">
        <v>52</v>
      </c>
      <c r="F970" s="3" t="s">
        <v>15</v>
      </c>
      <c r="G970" s="3">
        <v>1</v>
      </c>
      <c r="H970" s="3">
        <v>25359</v>
      </c>
      <c r="I970" s="3">
        <v>25359</v>
      </c>
      <c r="J970" s="3" t="s">
        <v>16</v>
      </c>
      <c r="K970" s="3" t="s">
        <v>92</v>
      </c>
    </row>
    <row r="971" spans="1:11" x14ac:dyDescent="0.3">
      <c r="A971" s="5" t="s">
        <v>1352</v>
      </c>
      <c r="B971" s="6">
        <v>45685</v>
      </c>
      <c r="C971" s="5" t="s">
        <v>160</v>
      </c>
      <c r="D971" s="5" t="s">
        <v>13</v>
      </c>
      <c r="E971" s="5" t="s">
        <v>80</v>
      </c>
      <c r="F971" s="5" t="s">
        <v>25</v>
      </c>
      <c r="G971" s="5">
        <v>4</v>
      </c>
      <c r="H971" s="5">
        <v>2727</v>
      </c>
      <c r="I971" s="5">
        <v>10908</v>
      </c>
      <c r="J971" s="5" t="s">
        <v>16</v>
      </c>
      <c r="K971" s="5" t="s">
        <v>92</v>
      </c>
    </row>
    <row r="972" spans="1:11" x14ac:dyDescent="0.3">
      <c r="A972" s="3" t="s">
        <v>1353</v>
      </c>
      <c r="B972" s="4">
        <v>45750</v>
      </c>
      <c r="C972" s="3" t="s">
        <v>775</v>
      </c>
      <c r="D972" s="3" t="s">
        <v>59</v>
      </c>
      <c r="E972" s="3" t="s">
        <v>67</v>
      </c>
      <c r="F972" s="3" t="s">
        <v>68</v>
      </c>
      <c r="G972" s="3">
        <v>1</v>
      </c>
      <c r="H972" s="3">
        <v>462</v>
      </c>
      <c r="I972" s="3">
        <v>462</v>
      </c>
      <c r="J972" s="3" t="s">
        <v>35</v>
      </c>
      <c r="K972" s="3" t="s">
        <v>56</v>
      </c>
    </row>
    <row r="973" spans="1:11" x14ac:dyDescent="0.3">
      <c r="A973" s="5" t="s">
        <v>1354</v>
      </c>
      <c r="B973" s="6">
        <v>45968</v>
      </c>
      <c r="C973" s="5" t="s">
        <v>525</v>
      </c>
      <c r="D973" s="5" t="s">
        <v>55</v>
      </c>
      <c r="E973" s="5" t="s">
        <v>48</v>
      </c>
      <c r="F973" s="5" t="s">
        <v>49</v>
      </c>
      <c r="G973" s="5">
        <v>10</v>
      </c>
      <c r="H973" s="5">
        <v>8899</v>
      </c>
      <c r="I973" s="5">
        <v>88990</v>
      </c>
      <c r="J973" s="5" t="s">
        <v>16</v>
      </c>
      <c r="K973" s="5" t="s">
        <v>99</v>
      </c>
    </row>
    <row r="974" spans="1:11" x14ac:dyDescent="0.3">
      <c r="A974" s="3" t="s">
        <v>1355</v>
      </c>
      <c r="B974" s="4">
        <v>45928</v>
      </c>
      <c r="C974" s="3" t="s">
        <v>958</v>
      </c>
      <c r="D974" s="3" t="s">
        <v>13</v>
      </c>
      <c r="E974" s="3" t="s">
        <v>73</v>
      </c>
      <c r="F974" s="3" t="s">
        <v>68</v>
      </c>
      <c r="G974" s="3">
        <v>6</v>
      </c>
      <c r="H974" s="3">
        <v>1184</v>
      </c>
      <c r="I974" s="3">
        <v>7104</v>
      </c>
      <c r="J974" s="3" t="s">
        <v>16</v>
      </c>
      <c r="K974" s="3" t="s">
        <v>99</v>
      </c>
    </row>
    <row r="975" spans="1:11" x14ac:dyDescent="0.3">
      <c r="A975" s="5" t="s">
        <v>1356</v>
      </c>
      <c r="B975" s="6">
        <v>45788</v>
      </c>
      <c r="C975" s="5" t="s">
        <v>359</v>
      </c>
      <c r="D975" s="5" t="s">
        <v>59</v>
      </c>
      <c r="E975" s="5" t="s">
        <v>20</v>
      </c>
      <c r="F975" s="5" t="s">
        <v>15</v>
      </c>
      <c r="G975" s="5">
        <v>9</v>
      </c>
      <c r="H975" s="5">
        <v>51349</v>
      </c>
      <c r="I975" s="5">
        <v>462141</v>
      </c>
      <c r="J975" s="5" t="s">
        <v>16</v>
      </c>
      <c r="K975" s="5" t="s">
        <v>81</v>
      </c>
    </row>
    <row r="976" spans="1:11" x14ac:dyDescent="0.3">
      <c r="A976" s="3" t="s">
        <v>1357</v>
      </c>
      <c r="B976" s="4">
        <v>45750</v>
      </c>
      <c r="C976" s="3" t="s">
        <v>571</v>
      </c>
      <c r="D976" s="3" t="s">
        <v>59</v>
      </c>
      <c r="E976" s="3" t="s">
        <v>67</v>
      </c>
      <c r="F976" s="3" t="s">
        <v>68</v>
      </c>
      <c r="G976" s="3">
        <v>3</v>
      </c>
      <c r="H976" s="3">
        <v>455</v>
      </c>
      <c r="I976" s="3">
        <v>1365</v>
      </c>
      <c r="J976" s="3" t="s">
        <v>128</v>
      </c>
      <c r="K976" s="3" t="s">
        <v>26</v>
      </c>
    </row>
    <row r="977" spans="1:11" x14ac:dyDescent="0.3">
      <c r="A977" s="5" t="s">
        <v>1358</v>
      </c>
      <c r="B977" s="6">
        <v>45790</v>
      </c>
      <c r="C977" s="5" t="s">
        <v>380</v>
      </c>
      <c r="D977" s="5" t="s">
        <v>59</v>
      </c>
      <c r="E977" s="5" t="s">
        <v>73</v>
      </c>
      <c r="F977" s="5" t="s">
        <v>68</v>
      </c>
      <c r="G977" s="5">
        <v>6</v>
      </c>
      <c r="H977" s="5">
        <v>1114</v>
      </c>
      <c r="I977" s="5">
        <v>6684</v>
      </c>
      <c r="J977" s="5" t="s">
        <v>16</v>
      </c>
      <c r="K977" s="5" t="s">
        <v>42</v>
      </c>
    </row>
    <row r="978" spans="1:11" x14ac:dyDescent="0.3">
      <c r="A978" s="3" t="s">
        <v>1359</v>
      </c>
      <c r="B978" s="4">
        <v>45910</v>
      </c>
      <c r="C978" s="3" t="s">
        <v>115</v>
      </c>
      <c r="D978" s="3" t="s">
        <v>55</v>
      </c>
      <c r="E978" s="3" t="s">
        <v>52</v>
      </c>
      <c r="F978" s="3" t="s">
        <v>15</v>
      </c>
      <c r="G978" s="3">
        <v>4</v>
      </c>
      <c r="H978" s="3">
        <v>26260</v>
      </c>
      <c r="I978" s="3">
        <v>105040</v>
      </c>
      <c r="J978" s="3" t="s">
        <v>16</v>
      </c>
      <c r="K978" s="3" t="s">
        <v>84</v>
      </c>
    </row>
    <row r="979" spans="1:11" x14ac:dyDescent="0.3">
      <c r="A979" s="5" t="s">
        <v>1360</v>
      </c>
      <c r="B979" s="6">
        <v>45691</v>
      </c>
      <c r="C979" s="5" t="s">
        <v>597</v>
      </c>
      <c r="D979" s="5" t="s">
        <v>29</v>
      </c>
      <c r="E979" s="5" t="s">
        <v>14</v>
      </c>
      <c r="F979" s="5" t="s">
        <v>15</v>
      </c>
      <c r="G979" s="5">
        <v>1</v>
      </c>
      <c r="H979" s="5">
        <v>2891</v>
      </c>
      <c r="I979" s="5">
        <v>2891</v>
      </c>
      <c r="J979" s="5" t="s">
        <v>16</v>
      </c>
      <c r="K979" s="5" t="s">
        <v>39</v>
      </c>
    </row>
    <row r="980" spans="1:11" x14ac:dyDescent="0.3">
      <c r="A980" s="3" t="s">
        <v>1361</v>
      </c>
      <c r="B980" s="4">
        <v>45709</v>
      </c>
      <c r="C980" s="3" t="s">
        <v>118</v>
      </c>
      <c r="D980" s="3" t="s">
        <v>29</v>
      </c>
      <c r="E980" s="3" t="s">
        <v>108</v>
      </c>
      <c r="F980" s="3" t="s">
        <v>49</v>
      </c>
      <c r="G980" s="3">
        <v>5</v>
      </c>
      <c r="H980" s="3">
        <v>7075</v>
      </c>
      <c r="I980" s="3">
        <v>35375</v>
      </c>
      <c r="J980" s="3" t="s">
        <v>16</v>
      </c>
      <c r="K980" s="3" t="s">
        <v>84</v>
      </c>
    </row>
    <row r="981" spans="1:11" x14ac:dyDescent="0.3">
      <c r="A981" s="5" t="s">
        <v>1362</v>
      </c>
      <c r="B981" s="6">
        <v>45983</v>
      </c>
      <c r="C981" s="5" t="s">
        <v>562</v>
      </c>
      <c r="D981" s="5" t="s">
        <v>13</v>
      </c>
      <c r="E981" s="5" t="s">
        <v>113</v>
      </c>
      <c r="F981" s="5" t="s">
        <v>49</v>
      </c>
      <c r="G981" s="5">
        <v>10</v>
      </c>
      <c r="H981" s="5">
        <v>11776</v>
      </c>
      <c r="I981" s="5">
        <v>117760</v>
      </c>
      <c r="J981" s="5" t="s">
        <v>16</v>
      </c>
      <c r="K981" s="5" t="s">
        <v>21</v>
      </c>
    </row>
    <row r="982" spans="1:11" x14ac:dyDescent="0.3">
      <c r="A982" s="3" t="s">
        <v>1363</v>
      </c>
      <c r="B982" s="4">
        <v>45933</v>
      </c>
      <c r="C982" s="3" t="s">
        <v>97</v>
      </c>
      <c r="D982" s="3" t="s">
        <v>55</v>
      </c>
      <c r="E982" s="3" t="s">
        <v>113</v>
      </c>
      <c r="F982" s="3" t="s">
        <v>49</v>
      </c>
      <c r="G982" s="3">
        <v>9</v>
      </c>
      <c r="H982" s="3">
        <v>13164</v>
      </c>
      <c r="I982" s="3">
        <v>118476</v>
      </c>
      <c r="J982" s="3" t="s">
        <v>16</v>
      </c>
      <c r="K982" s="3" t="s">
        <v>36</v>
      </c>
    </row>
    <row r="983" spans="1:11" x14ac:dyDescent="0.3">
      <c r="A983" s="5" t="s">
        <v>1364</v>
      </c>
      <c r="B983" s="6">
        <v>45992</v>
      </c>
      <c r="C983" s="5" t="s">
        <v>709</v>
      </c>
      <c r="D983" s="5" t="s">
        <v>13</v>
      </c>
      <c r="E983" s="5" t="s">
        <v>20</v>
      </c>
      <c r="F983" s="5" t="s">
        <v>15</v>
      </c>
      <c r="G983" s="5">
        <v>8</v>
      </c>
      <c r="H983" s="5">
        <v>60072</v>
      </c>
      <c r="I983" s="5">
        <v>480576</v>
      </c>
      <c r="J983" s="5" t="s">
        <v>16</v>
      </c>
      <c r="K983" s="5" t="s">
        <v>39</v>
      </c>
    </row>
    <row r="984" spans="1:11" x14ac:dyDescent="0.3">
      <c r="A984" s="3" t="s">
        <v>1365</v>
      </c>
      <c r="B984" s="4">
        <v>45837</v>
      </c>
      <c r="C984" s="3" t="s">
        <v>1261</v>
      </c>
      <c r="D984" s="3" t="s">
        <v>59</v>
      </c>
      <c r="E984" s="3" t="s">
        <v>98</v>
      </c>
      <c r="F984" s="3" t="s">
        <v>68</v>
      </c>
      <c r="G984" s="3">
        <v>10</v>
      </c>
      <c r="H984" s="3">
        <v>1710</v>
      </c>
      <c r="I984" s="3">
        <v>17100</v>
      </c>
      <c r="J984" s="3" t="s">
        <v>16</v>
      </c>
      <c r="K984" s="3" t="s">
        <v>21</v>
      </c>
    </row>
    <row r="985" spans="1:11" x14ac:dyDescent="0.3">
      <c r="A985" s="5" t="s">
        <v>1366</v>
      </c>
      <c r="B985" s="6">
        <v>45693</v>
      </c>
      <c r="C985" s="5" t="s">
        <v>554</v>
      </c>
      <c r="D985" s="5" t="s">
        <v>13</v>
      </c>
      <c r="E985" s="5" t="s">
        <v>24</v>
      </c>
      <c r="F985" s="5" t="s">
        <v>25</v>
      </c>
      <c r="G985" s="5">
        <v>1</v>
      </c>
      <c r="H985" s="5">
        <v>1118</v>
      </c>
      <c r="I985" s="5">
        <v>1118</v>
      </c>
      <c r="J985" s="5" t="s">
        <v>16</v>
      </c>
      <c r="K985" s="5" t="s">
        <v>17</v>
      </c>
    </row>
    <row r="986" spans="1:11" x14ac:dyDescent="0.3">
      <c r="A986" s="3" t="s">
        <v>1367</v>
      </c>
      <c r="B986" s="4">
        <v>45765</v>
      </c>
      <c r="C986" s="3" t="s">
        <v>1037</v>
      </c>
      <c r="D986" s="3" t="s">
        <v>29</v>
      </c>
      <c r="E986" s="3" t="s">
        <v>52</v>
      </c>
      <c r="F986" s="3" t="s">
        <v>15</v>
      </c>
      <c r="G986" s="3">
        <v>9</v>
      </c>
      <c r="H986" s="3">
        <v>27494</v>
      </c>
      <c r="I986" s="3">
        <v>247446</v>
      </c>
      <c r="J986" s="3" t="s">
        <v>35</v>
      </c>
      <c r="K986" s="3" t="s">
        <v>92</v>
      </c>
    </row>
    <row r="987" spans="1:11" x14ac:dyDescent="0.3">
      <c r="A987" s="5" t="s">
        <v>1368</v>
      </c>
      <c r="B987" s="6">
        <v>46020</v>
      </c>
      <c r="C987" s="5" t="s">
        <v>425</v>
      </c>
      <c r="D987" s="5" t="s">
        <v>55</v>
      </c>
      <c r="E987" s="5" t="s">
        <v>34</v>
      </c>
      <c r="F987" s="5" t="s">
        <v>31</v>
      </c>
      <c r="G987" s="5">
        <v>6</v>
      </c>
      <c r="H987" s="5">
        <v>3594</v>
      </c>
      <c r="I987" s="5">
        <v>21564</v>
      </c>
      <c r="J987" s="5" t="s">
        <v>128</v>
      </c>
      <c r="K987" s="5" t="s">
        <v>56</v>
      </c>
    </row>
    <row r="988" spans="1:11" x14ac:dyDescent="0.3">
      <c r="A988" s="3" t="s">
        <v>1369</v>
      </c>
      <c r="B988" s="4">
        <v>45666</v>
      </c>
      <c r="C988" s="3" t="s">
        <v>634</v>
      </c>
      <c r="D988" s="3" t="s">
        <v>59</v>
      </c>
      <c r="E988" s="3" t="s">
        <v>45</v>
      </c>
      <c r="F988" s="3" t="s">
        <v>31</v>
      </c>
      <c r="G988" s="3">
        <v>4</v>
      </c>
      <c r="H988" s="3">
        <v>1785</v>
      </c>
      <c r="I988" s="3">
        <v>7140</v>
      </c>
      <c r="J988" s="3" t="s">
        <v>16</v>
      </c>
      <c r="K988" s="3" t="s">
        <v>64</v>
      </c>
    </row>
    <row r="989" spans="1:11" x14ac:dyDescent="0.3">
      <c r="A989" s="5" t="s">
        <v>1370</v>
      </c>
      <c r="B989" s="6">
        <v>45869</v>
      </c>
      <c r="C989" s="5" t="s">
        <v>334</v>
      </c>
      <c r="D989" s="5" t="s">
        <v>55</v>
      </c>
      <c r="E989" s="5" t="s">
        <v>24</v>
      </c>
      <c r="F989" s="5" t="s">
        <v>25</v>
      </c>
      <c r="G989" s="5">
        <v>1</v>
      </c>
      <c r="H989" s="5">
        <v>1296</v>
      </c>
      <c r="I989" s="5">
        <v>1296</v>
      </c>
      <c r="J989" s="5" t="s">
        <v>16</v>
      </c>
      <c r="K989" s="5" t="s">
        <v>36</v>
      </c>
    </row>
    <row r="990" spans="1:11" x14ac:dyDescent="0.3">
      <c r="A990" s="3" t="s">
        <v>1371</v>
      </c>
      <c r="B990" s="4">
        <v>45991</v>
      </c>
      <c r="C990" s="3" t="s">
        <v>577</v>
      </c>
      <c r="D990" s="3" t="s">
        <v>13</v>
      </c>
      <c r="E990" s="3" t="s">
        <v>98</v>
      </c>
      <c r="F990" s="3" t="s">
        <v>68</v>
      </c>
      <c r="G990" s="3">
        <v>9</v>
      </c>
      <c r="H990" s="3">
        <v>1649</v>
      </c>
      <c r="I990" s="3">
        <v>14841</v>
      </c>
      <c r="J990" s="3" t="s">
        <v>128</v>
      </c>
      <c r="K990" s="3" t="s">
        <v>92</v>
      </c>
    </row>
    <row r="991" spans="1:11" x14ac:dyDescent="0.3">
      <c r="A991" s="5" t="s">
        <v>1372</v>
      </c>
      <c r="B991" s="6">
        <v>45965</v>
      </c>
      <c r="C991" s="5" t="s">
        <v>693</v>
      </c>
      <c r="D991" s="5" t="s">
        <v>59</v>
      </c>
      <c r="E991" s="5" t="s">
        <v>67</v>
      </c>
      <c r="F991" s="5" t="s">
        <v>68</v>
      </c>
      <c r="G991" s="5">
        <v>2</v>
      </c>
      <c r="H991" s="5">
        <v>485</v>
      </c>
      <c r="I991" s="5">
        <v>970</v>
      </c>
      <c r="J991" s="5" t="s">
        <v>16</v>
      </c>
      <c r="K991" s="5" t="s">
        <v>99</v>
      </c>
    </row>
    <row r="992" spans="1:11" x14ac:dyDescent="0.3">
      <c r="A992" s="3" t="s">
        <v>1373</v>
      </c>
      <c r="B992" s="4">
        <v>45662</v>
      </c>
      <c r="C992" s="3" t="s">
        <v>707</v>
      </c>
      <c r="D992" s="3" t="s">
        <v>59</v>
      </c>
      <c r="E992" s="3" t="s">
        <v>20</v>
      </c>
      <c r="F992" s="3" t="s">
        <v>15</v>
      </c>
      <c r="G992" s="3">
        <v>8</v>
      </c>
      <c r="H992" s="3">
        <v>53575</v>
      </c>
      <c r="I992" s="3">
        <v>428600</v>
      </c>
      <c r="J992" s="3" t="s">
        <v>16</v>
      </c>
      <c r="K992" s="3" t="s">
        <v>26</v>
      </c>
    </row>
    <row r="993" spans="1:11" x14ac:dyDescent="0.3">
      <c r="A993" s="5" t="s">
        <v>1374</v>
      </c>
      <c r="B993" s="6">
        <v>45978</v>
      </c>
      <c r="C993" s="5" t="s">
        <v>243</v>
      </c>
      <c r="D993" s="5" t="s">
        <v>59</v>
      </c>
      <c r="E993" s="5" t="s">
        <v>34</v>
      </c>
      <c r="F993" s="5" t="s">
        <v>31</v>
      </c>
      <c r="G993" s="5">
        <v>6</v>
      </c>
      <c r="H993" s="5">
        <v>3284</v>
      </c>
      <c r="I993" s="5">
        <v>19704</v>
      </c>
      <c r="J993" s="5" t="s">
        <v>16</v>
      </c>
      <c r="K993" s="5" t="s">
        <v>84</v>
      </c>
    </row>
    <row r="994" spans="1:11" x14ac:dyDescent="0.3">
      <c r="A994" s="3" t="s">
        <v>1375</v>
      </c>
      <c r="B994" s="4">
        <v>46018</v>
      </c>
      <c r="C994" s="3" t="s">
        <v>198</v>
      </c>
      <c r="D994" s="3" t="s">
        <v>13</v>
      </c>
      <c r="E994" s="3" t="s">
        <v>113</v>
      </c>
      <c r="F994" s="3" t="s">
        <v>49</v>
      </c>
      <c r="G994" s="3">
        <v>6</v>
      </c>
      <c r="H994" s="3">
        <v>10888</v>
      </c>
      <c r="I994" s="3">
        <v>65328</v>
      </c>
      <c r="J994" s="3" t="s">
        <v>16</v>
      </c>
      <c r="K994" s="3" t="s">
        <v>21</v>
      </c>
    </row>
    <row r="995" spans="1:11" x14ac:dyDescent="0.3">
      <c r="A995" s="5" t="s">
        <v>1376</v>
      </c>
      <c r="B995" s="6">
        <v>45940</v>
      </c>
      <c r="C995" s="5" t="s">
        <v>388</v>
      </c>
      <c r="D995" s="5" t="s">
        <v>59</v>
      </c>
      <c r="E995" s="5" t="s">
        <v>73</v>
      </c>
      <c r="F995" s="5" t="s">
        <v>68</v>
      </c>
      <c r="G995" s="5">
        <v>5</v>
      </c>
      <c r="H995" s="5">
        <v>1216</v>
      </c>
      <c r="I995" s="5">
        <v>6080</v>
      </c>
      <c r="J995" s="5" t="s">
        <v>16</v>
      </c>
      <c r="K995" s="5" t="s">
        <v>64</v>
      </c>
    </row>
    <row r="996" spans="1:11" x14ac:dyDescent="0.3">
      <c r="A996" s="3" t="s">
        <v>1377</v>
      </c>
      <c r="B996" s="4">
        <v>45691</v>
      </c>
      <c r="C996" s="3" t="s">
        <v>1378</v>
      </c>
      <c r="D996" s="3" t="s">
        <v>13</v>
      </c>
      <c r="E996" s="3" t="s">
        <v>60</v>
      </c>
      <c r="F996" s="3" t="s">
        <v>25</v>
      </c>
      <c r="G996" s="3">
        <v>3</v>
      </c>
      <c r="H996" s="3">
        <v>1369</v>
      </c>
      <c r="I996" s="3">
        <v>4107</v>
      </c>
      <c r="J996" s="3" t="s">
        <v>16</v>
      </c>
      <c r="K996" s="3" t="s">
        <v>56</v>
      </c>
    </row>
    <row r="997" spans="1:11" x14ac:dyDescent="0.3">
      <c r="A997" s="5" t="s">
        <v>1379</v>
      </c>
      <c r="B997" s="6">
        <v>46012</v>
      </c>
      <c r="C997" s="5" t="s">
        <v>1380</v>
      </c>
      <c r="D997" s="5" t="s">
        <v>55</v>
      </c>
      <c r="E997" s="5" t="s">
        <v>48</v>
      </c>
      <c r="F997" s="5" t="s">
        <v>49</v>
      </c>
      <c r="G997" s="5">
        <v>5</v>
      </c>
      <c r="H997" s="5">
        <v>8445</v>
      </c>
      <c r="I997" s="5">
        <v>42225</v>
      </c>
      <c r="J997" s="5" t="s">
        <v>16</v>
      </c>
      <c r="K997" s="5" t="s">
        <v>92</v>
      </c>
    </row>
    <row r="998" spans="1:11" x14ac:dyDescent="0.3">
      <c r="A998" s="3" t="s">
        <v>1381</v>
      </c>
      <c r="B998" s="4">
        <v>45990</v>
      </c>
      <c r="C998" s="3" t="s">
        <v>952</v>
      </c>
      <c r="D998" s="3" t="s">
        <v>13</v>
      </c>
      <c r="E998" s="3" t="s">
        <v>24</v>
      </c>
      <c r="F998" s="3" t="s">
        <v>25</v>
      </c>
      <c r="G998" s="3">
        <v>1</v>
      </c>
      <c r="H998" s="3">
        <v>1305</v>
      </c>
      <c r="I998" s="3">
        <v>1305</v>
      </c>
      <c r="J998" s="3" t="s">
        <v>16</v>
      </c>
      <c r="K998" s="3" t="s">
        <v>42</v>
      </c>
    </row>
    <row r="999" spans="1:11" x14ac:dyDescent="0.3">
      <c r="A999" s="5" t="s">
        <v>1382</v>
      </c>
      <c r="B999" s="6">
        <v>45911</v>
      </c>
      <c r="C999" s="5" t="s">
        <v>255</v>
      </c>
      <c r="D999" s="5" t="s">
        <v>55</v>
      </c>
      <c r="E999" s="5" t="s">
        <v>98</v>
      </c>
      <c r="F999" s="5" t="s">
        <v>68</v>
      </c>
      <c r="G999" s="5">
        <v>5</v>
      </c>
      <c r="H999" s="5">
        <v>1663</v>
      </c>
      <c r="I999" s="5">
        <v>8315</v>
      </c>
      <c r="J999" s="5" t="s">
        <v>16</v>
      </c>
      <c r="K999" s="5" t="s">
        <v>92</v>
      </c>
    </row>
    <row r="1000" spans="1:11" x14ac:dyDescent="0.3">
      <c r="A1000" s="3" t="s">
        <v>1383</v>
      </c>
      <c r="B1000" s="4">
        <v>45819</v>
      </c>
      <c r="C1000" s="3" t="s">
        <v>170</v>
      </c>
      <c r="D1000" s="3" t="s">
        <v>55</v>
      </c>
      <c r="E1000" s="3" t="s">
        <v>108</v>
      </c>
      <c r="F1000" s="3" t="s">
        <v>49</v>
      </c>
      <c r="G1000" s="3">
        <v>5</v>
      </c>
      <c r="H1000" s="3">
        <v>7585</v>
      </c>
      <c r="I1000" s="3">
        <v>37925</v>
      </c>
      <c r="J1000" s="3" t="s">
        <v>16</v>
      </c>
      <c r="K1000" s="3" t="s">
        <v>99</v>
      </c>
    </row>
    <row r="1001" spans="1:11" x14ac:dyDescent="0.3">
      <c r="A1001" s="5" t="s">
        <v>1384</v>
      </c>
      <c r="B1001" s="6">
        <v>45696</v>
      </c>
      <c r="C1001" s="5" t="s">
        <v>101</v>
      </c>
      <c r="D1001" s="5" t="s">
        <v>59</v>
      </c>
      <c r="E1001" s="5" t="s">
        <v>20</v>
      </c>
      <c r="F1001" s="5" t="s">
        <v>15</v>
      </c>
      <c r="G1001" s="5">
        <v>4</v>
      </c>
      <c r="H1001" s="5">
        <v>60259</v>
      </c>
      <c r="I1001" s="5">
        <v>241036</v>
      </c>
      <c r="J1001" s="5" t="s">
        <v>16</v>
      </c>
      <c r="K1001" s="5"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vt:lpstr>
      <vt:lpstr>DASHBOARD</vt:lpstr>
      <vt:lpstr>RegionalSales2025 (1)</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Pooja Dandwani</cp:lastModifiedBy>
  <dcterms:created xsi:type="dcterms:W3CDTF">2026-07-03T15:22:06Z</dcterms:created>
  <dcterms:modified xsi:type="dcterms:W3CDTF">2026-07-04T04:27:13Z</dcterms:modified>
</cp:coreProperties>
</file>