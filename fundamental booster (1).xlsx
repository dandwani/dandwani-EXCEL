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struction" sheetId="1" r:id="rId5"/>
    <sheet state="visible" name="student grade" sheetId="2" r:id="rId6"/>
    <sheet state="visible" name="sales data" sheetId="3" r:id="rId7"/>
    <sheet state="visible" name="employee data" sheetId="4" r:id="rId8"/>
  </sheets>
  <definedNames/>
  <calcPr/>
</workbook>
</file>

<file path=xl/sharedStrings.xml><?xml version="1.0" encoding="utf-8"?>
<sst xmlns="http://schemas.openxmlformats.org/spreadsheetml/2006/main" count="194" uniqueCount="137">
  <si>
    <t>PR. 1 Fundamental Booster</t>
  </si>
  <si>
    <r>
      <rPr>
        <rFont val="Calibri"/>
        <b/>
        <color theme="1"/>
        <sz val="11.0"/>
      </rPr>
      <t xml:space="preserve">Topics:
</t>
    </r>
    <r>
      <rPr>
        <rFont val="Calibri"/>
        <color theme="1"/>
        <sz val="11.0"/>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rFont val="Calibri"/>
        <b/>
        <color theme="1"/>
        <sz val="11.0"/>
      </rPr>
      <t xml:space="preserve">
</t>
    </r>
    <r>
      <rPr>
        <rFont val="Calibri"/>
        <color theme="1"/>
        <sz val="11.0"/>
      </rPr>
      <t xml:space="preserve">  
</t>
    </r>
    <r>
      <rPr>
        <rFont val="Calibri"/>
        <b/>
        <color rgb="FF38761D"/>
        <sz val="11.0"/>
      </rPr>
      <t>Main Tasks:</t>
    </r>
    <r>
      <rPr>
        <rFont val="Calibri"/>
        <color rgb="FF38761D"/>
        <sz val="11.0"/>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rFont val="Calibri"/>
        <color theme="1"/>
        <sz val="11.0"/>
      </rPr>
      <t xml:space="preserve">
</t>
    </r>
    <r>
      <rPr>
        <rFont val="Calibri"/>
        <b/>
        <color theme="1"/>
        <sz val="11.0"/>
      </rPr>
      <t xml:space="preserve">Deliverable:
</t>
    </r>
    <r>
      <rPr>
        <rFont val="Calibri"/>
        <color theme="1"/>
        <sz val="11.0"/>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</si>
  <si>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</si>
  <si>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</si>
  <si>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</si>
  <si>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</si>
  <si>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</si>
  <si>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</si>
  <si>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</si>
  <si>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</si>
  <si>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</si>
  <si>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</si>
  <si>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</si>
  <si>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</si>
  <si>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</si>
  <si>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</si>
  <si>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</si>
  <si>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</si>
  <si>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</si>
  <si>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</si>
  <si>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</si>
  <si>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</si>
  <si>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</si>
  <si>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</si>
  <si>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</si>
  <si>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</si>
  <si>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</si>
  <si>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</si>
  <si>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</si>
  <si>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</si>
  <si>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</si>
  <si>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</si>
  <si>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</si>
  <si>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</si>
  <si>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</si>
  <si>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</si>
  <si>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</si>
  <si>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</si>
  <si>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</si>
  <si>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</si>
  <si>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</si>
  <si>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</si>
  <si>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</si>
  <si>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</si>
  <si>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</si>
  <si>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</si>
  <si>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</si>
  <si>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Avarage</t>
  </si>
  <si>
    <t>Grade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</si>
  <si>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</si>
  <si>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</si>
  <si>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</si>
  <si>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</si>
  <si>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</si>
  <si>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</si>
  <si>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</si>
  <si>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</si>
  <si>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</si>
  <si>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</si>
  <si>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</si>
  <si>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</si>
  <si>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</si>
  <si>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</si>
  <si>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</si>
  <si>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</si>
  <si>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</si>
  <si>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</si>
  <si>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</si>
  <si>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</si>
  <si>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</si>
  <si>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</si>
  <si>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</si>
  <si>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</si>
  <si>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</si>
  <si>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</si>
  <si>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</si>
  <si>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</si>
  <si>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</si>
  <si>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Mouse</t>
  </si>
  <si>
    <t>Person 3</t>
  </si>
  <si>
    <t>Printer</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</si>
  <si>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</si>
  <si>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</si>
  <si>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</si>
  <si>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</si>
  <si>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</si>
  <si>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</si>
  <si>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</si>
  <si>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</si>
  <si>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</si>
  <si>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</si>
  <si>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</si>
  <si>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</si>
  <si>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</si>
  <si>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</si>
  <si>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</si>
  <si>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</si>
  <si>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</si>
  <si>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</si>
  <si>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West</t>
  </si>
  <si>
    <t>Person 18</t>
  </si>
  <si>
    <t>Person 19</t>
  </si>
  <si>
    <t>Person 20</t>
  </si>
  <si>
    <t>Employee ID</t>
  </si>
  <si>
    <t>Department</t>
  </si>
  <si>
    <t>Salary</t>
  </si>
  <si>
    <t>Joining Date</t>
  </si>
  <si>
    <t>DATE</t>
  </si>
  <si>
    <t>YEAR</t>
  </si>
  <si>
    <t>MONTH</t>
  </si>
  <si>
    <t>EXPERIENCE</t>
  </si>
  <si>
    <t>New joinees</t>
  </si>
  <si>
    <t>recent joiners</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</si>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</sst>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6">
    <font>
      <sz val="10.0"/>
      <color rgb="FF000000"/>
      <name val="Arial"/>
      <scheme val="minor"/>
    </font>
    <font>
      <b/>
      <sz val="11.0"/>
      <color theme="1"/>
      <name val="Calibri"/>
    </font>
    <font>
      <sz val="11.0"/>
      <color theme="1"/>
      <name val="Calibri"/>
    </font>
    <font>
      <color theme="1"/>
      <name val="Calibri"/>
    </font>
    <font>
      <color theme="1"/>
      <name val="Arial"/>
      <scheme val="minor"/>
    </font>
    <font>
      <b/>
      <color theme="1"/>
      <name val="Arial"/>
      <scheme val="minor"/>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Font="1"/>
    <xf borderId="1" fillId="0" fontId="2" numFmtId="0" xfId="0" applyBorder="1" applyFont="1"/>
    <xf borderId="1" fillId="0" fontId="1" numFmtId="0" xfId="0" applyBorder="1" applyFont="1"/>
    <xf borderId="0" fillId="2" fontId="1" numFmtId="0" xfId="0" applyAlignment="1" applyFont="1">
      <alignment horizontal="center" readingOrder="0"/>
    </xf>
    <xf borderId="0" fillId="2" fontId="1" numFmtId="0" xfId="0" applyAlignment="1" applyFont="1">
      <alignment horizontal="center"/>
    </xf>
    <xf borderId="1" fillId="0" fontId="2" numFmtId="0" xfId="0" applyAlignment="1" applyBorder="1" applyFont="1">
      <alignment horizontal="center"/>
    </xf>
    <xf borderId="1" fillId="0" fontId="2" numFmtId="164" xfId="0" applyAlignment="1" applyBorder="1" applyFont="1" applyNumberFormat="1">
      <alignment horizontal="center"/>
    </xf>
    <xf borderId="0" fillId="0" fontId="2" numFmtId="0" xfId="0" applyAlignment="1" applyFont="1">
      <alignment horizontal="center"/>
    </xf>
    <xf borderId="0" fillId="0" fontId="3" numFmtId="0" xfId="0" applyFont="1"/>
    <xf borderId="0" fillId="0" fontId="2" numFmtId="164" xfId="0" applyFont="1" applyNumberFormat="1"/>
    <xf borderId="1" fillId="3" fontId="1" numFmtId="0" xfId="0" applyAlignment="1" applyBorder="1" applyFill="1" applyFont="1">
      <alignment horizontal="center"/>
    </xf>
    <xf borderId="2" fillId="0" fontId="2" numFmtId="164" xfId="0" applyAlignment="1" applyBorder="1" applyFont="1" applyNumberFormat="1">
      <alignment horizontal="center"/>
    </xf>
    <xf borderId="2" fillId="3" fontId="1" numFmtId="0" xfId="0" applyAlignment="1" applyBorder="1" applyFont="1">
      <alignment horizontal="center"/>
    </xf>
    <xf borderId="0" fillId="3" fontId="1" numFmtId="0" xfId="0" applyAlignment="1" applyFont="1">
      <alignment horizontal="center"/>
    </xf>
    <xf borderId="0" fillId="3" fontId="2" numFmtId="0" xfId="0" applyAlignment="1" applyFont="1">
      <alignment horizontal="right" readingOrder="0"/>
    </xf>
    <xf borderId="0" fillId="3" fontId="1" numFmtId="0" xfId="0" applyAlignment="1" applyFont="1">
      <alignment horizontal="center" readingOrder="0"/>
    </xf>
    <xf borderId="0" fillId="3" fontId="1" numFmtId="164" xfId="0" applyAlignment="1" applyFont="1" applyNumberFormat="1">
      <alignment horizontal="center"/>
    </xf>
    <xf borderId="2" fillId="0" fontId="4" numFmtId="0" xfId="0" applyAlignment="1" applyBorder="1" applyFont="1">
      <alignment readingOrder="0"/>
    </xf>
    <xf borderId="1" fillId="0" fontId="4" numFmtId="0" xfId="0" applyAlignment="1" applyBorder="1" applyFont="1">
      <alignment readingOrder="0"/>
    </xf>
    <xf borderId="0" fillId="0" fontId="2" numFmtId="0" xfId="0" applyAlignment="1" applyFont="1">
      <alignment readingOrder="0"/>
    </xf>
    <xf borderId="0" fillId="0" fontId="1" numFmtId="0" xfId="0" applyAlignment="1" applyFont="1">
      <alignment readingOrder="0"/>
    </xf>
    <xf borderId="0" fillId="0" fontId="1"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1" t="s">
        <v>2</v>
      </c>
      <c r="B5" s="2"/>
      <c r="C5" s="2"/>
      <c r="D5" s="2"/>
      <c r="E5" s="2"/>
      <c r="F5" s="2"/>
      <c r="G5" s="2"/>
      <c r="H5" s="2"/>
      <c r="I5" s="2"/>
      <c r="J5" s="2"/>
      <c r="K5" s="2"/>
      <c r="L5" s="2"/>
      <c r="M5" s="2"/>
      <c r="N5" s="2"/>
      <c r="O5" s="2"/>
      <c r="P5" s="2"/>
      <c r="Q5" s="2"/>
      <c r="R5" s="2"/>
      <c r="S5" s="2"/>
      <c r="T5" s="2"/>
      <c r="U5" s="2"/>
      <c r="V5" s="2"/>
      <c r="W5" s="2"/>
      <c r="X5" s="2"/>
      <c r="Y5" s="2"/>
      <c r="Z5" s="2"/>
    </row>
    <row r="6">
      <c r="A6" s="4" t="s">
        <v>3</v>
      </c>
      <c r="B6" s="2"/>
      <c r="C6" s="2"/>
      <c r="D6" s="2"/>
      <c r="E6" s="2"/>
      <c r="F6" s="2"/>
      <c r="G6" s="2"/>
      <c r="H6" s="2"/>
      <c r="I6" s="2"/>
      <c r="J6" s="2"/>
      <c r="K6" s="2"/>
      <c r="L6" s="2"/>
      <c r="M6" s="2"/>
      <c r="N6" s="2"/>
      <c r="O6" s="2"/>
      <c r="P6" s="2"/>
      <c r="Q6" s="2"/>
      <c r="R6" s="2"/>
      <c r="S6" s="2"/>
      <c r="T6" s="2"/>
      <c r="U6" s="2"/>
      <c r="V6" s="2"/>
      <c r="W6" s="2"/>
      <c r="X6" s="2"/>
      <c r="Y6" s="2"/>
      <c r="Z6" s="2"/>
    </row>
    <row r="7">
      <c r="A7" s="3" t="s">
        <v>4</v>
      </c>
      <c r="B7" s="2"/>
      <c r="C7" s="2"/>
      <c r="D7" s="2"/>
      <c r="E7" s="2"/>
      <c r="F7" s="2"/>
      <c r="G7" s="2"/>
      <c r="H7" s="2"/>
      <c r="I7" s="2"/>
      <c r="J7" s="2"/>
      <c r="K7" s="2"/>
      <c r="L7" s="2"/>
      <c r="M7" s="2"/>
      <c r="N7" s="2"/>
      <c r="O7" s="2"/>
      <c r="P7" s="2"/>
      <c r="Q7" s="2"/>
      <c r="R7" s="2"/>
      <c r="S7" s="2"/>
      <c r="T7" s="2"/>
      <c r="U7" s="2"/>
      <c r="V7" s="2"/>
      <c r="W7" s="2"/>
      <c r="X7" s="2"/>
      <c r="Y7" s="2"/>
      <c r="Z7" s="2"/>
    </row>
    <row r="8">
      <c r="A8" s="3" t="s">
        <v>5</v>
      </c>
      <c r="B8" s="2"/>
      <c r="C8" s="2"/>
      <c r="D8" s="2"/>
      <c r="E8" s="2"/>
      <c r="F8" s="2"/>
      <c r="G8" s="2"/>
      <c r="H8" s="2"/>
      <c r="I8" s="2"/>
      <c r="J8" s="2"/>
      <c r="K8" s="2"/>
      <c r="L8" s="2"/>
      <c r="M8" s="2"/>
      <c r="N8" s="2"/>
      <c r="O8" s="2"/>
      <c r="P8" s="2"/>
      <c r="Q8" s="2"/>
      <c r="R8" s="2"/>
      <c r="S8" s="2"/>
      <c r="T8" s="2"/>
      <c r="U8" s="2"/>
      <c r="V8" s="2"/>
      <c r="W8" s="2"/>
      <c r="X8" s="2"/>
      <c r="Y8" s="2"/>
      <c r="Z8" s="2"/>
    </row>
    <row r="9">
      <c r="A9" s="3"/>
      <c r="B9" s="2"/>
      <c r="C9" s="2"/>
      <c r="D9" s="2"/>
      <c r="E9" s="2"/>
      <c r="F9" s="2"/>
      <c r="G9" s="2"/>
      <c r="H9" s="2"/>
      <c r="I9" s="2"/>
      <c r="J9" s="2"/>
      <c r="K9" s="2"/>
      <c r="L9" s="2"/>
      <c r="M9" s="2"/>
      <c r="N9" s="2"/>
      <c r="O9" s="2"/>
      <c r="P9" s="2"/>
      <c r="Q9" s="2"/>
      <c r="R9" s="2"/>
      <c r="S9" s="2"/>
      <c r="T9" s="2"/>
      <c r="U9" s="2"/>
      <c r="V9" s="2"/>
      <c r="W9" s="2"/>
      <c r="X9" s="2"/>
      <c r="Y9" s="2"/>
      <c r="Z9" s="2"/>
    </row>
    <row r="10">
      <c r="A10" s="4" t="s">
        <v>6</v>
      </c>
      <c r="B10" s="2"/>
      <c r="C10" s="2"/>
      <c r="D10" s="2"/>
      <c r="E10" s="2"/>
      <c r="F10" s="2"/>
      <c r="G10" s="2"/>
      <c r="H10" s="2"/>
      <c r="I10" s="2"/>
      <c r="J10" s="2"/>
      <c r="K10" s="2"/>
      <c r="L10" s="2"/>
      <c r="M10" s="2"/>
      <c r="N10" s="2"/>
      <c r="O10" s="2"/>
      <c r="P10" s="2"/>
      <c r="Q10" s="2"/>
      <c r="R10" s="2"/>
      <c r="S10" s="2"/>
      <c r="T10" s="2"/>
      <c r="U10" s="2"/>
      <c r="V10" s="2"/>
      <c r="W10" s="2"/>
      <c r="X10" s="2"/>
      <c r="Y10" s="2"/>
      <c r="Z10" s="2"/>
    </row>
    <row r="11">
      <c r="A11" s="3" t="s">
        <v>7</v>
      </c>
      <c r="B11" s="2"/>
      <c r="C11" s="2"/>
      <c r="D11" s="2"/>
      <c r="E11" s="2"/>
      <c r="F11" s="2"/>
      <c r="G11" s="2"/>
      <c r="H11" s="2"/>
      <c r="I11" s="2"/>
      <c r="J11" s="2"/>
      <c r="K11" s="2"/>
      <c r="L11" s="2"/>
      <c r="M11" s="2"/>
      <c r="N11" s="2"/>
      <c r="O11" s="2"/>
      <c r="P11" s="2"/>
      <c r="Q11" s="2"/>
      <c r="R11" s="2"/>
      <c r="S11" s="2"/>
      <c r="T11" s="2"/>
      <c r="U11" s="2"/>
      <c r="V11" s="2"/>
      <c r="W11" s="2"/>
      <c r="X11" s="2"/>
      <c r="Y11" s="2"/>
      <c r="Z11" s="2"/>
    </row>
    <row r="12">
      <c r="A12" s="3" t="s">
        <v>8</v>
      </c>
      <c r="B12" s="2"/>
      <c r="C12" s="2"/>
      <c r="D12" s="2"/>
      <c r="E12" s="2"/>
      <c r="F12" s="2"/>
      <c r="G12" s="2"/>
      <c r="H12" s="2"/>
      <c r="I12" s="2"/>
      <c r="J12" s="2"/>
      <c r="K12" s="2"/>
      <c r="L12" s="2"/>
      <c r="M12" s="2"/>
      <c r="N12" s="2"/>
      <c r="O12" s="2"/>
      <c r="P12" s="2"/>
      <c r="Q12" s="2"/>
      <c r="R12" s="2"/>
      <c r="S12" s="2"/>
      <c r="T12" s="2"/>
      <c r="U12" s="2"/>
      <c r="V12" s="2"/>
      <c r="W12" s="2"/>
      <c r="X12" s="2"/>
      <c r="Y12" s="2"/>
      <c r="Z12" s="2"/>
    </row>
    <row r="13">
      <c r="A13" s="3"/>
      <c r="B13" s="2"/>
      <c r="C13" s="2"/>
      <c r="D13" s="2"/>
      <c r="E13" s="2"/>
      <c r="F13" s="2"/>
      <c r="G13" s="2"/>
      <c r="H13" s="2"/>
      <c r="I13" s="2"/>
      <c r="J13" s="2"/>
      <c r="K13" s="2"/>
      <c r="L13" s="2"/>
      <c r="M13" s="2"/>
      <c r="N13" s="2"/>
      <c r="O13" s="2"/>
      <c r="P13" s="2"/>
      <c r="Q13" s="2"/>
      <c r="R13" s="2"/>
      <c r="S13" s="2"/>
      <c r="T13" s="2"/>
      <c r="U13" s="2"/>
      <c r="V13" s="2"/>
      <c r="W13" s="2"/>
      <c r="X13" s="2"/>
      <c r="Y13" s="2"/>
      <c r="Z13" s="2"/>
    </row>
    <row r="14">
      <c r="A14" s="4" t="s">
        <v>9</v>
      </c>
      <c r="B14" s="2"/>
      <c r="C14" s="2"/>
      <c r="D14" s="2"/>
      <c r="E14" s="2"/>
      <c r="F14" s="2"/>
      <c r="G14" s="2"/>
      <c r="H14" s="2"/>
      <c r="I14" s="2"/>
      <c r="J14" s="2"/>
      <c r="K14" s="2"/>
      <c r="L14" s="2"/>
      <c r="M14" s="2"/>
      <c r="N14" s="2"/>
      <c r="O14" s="2"/>
      <c r="P14" s="2"/>
      <c r="Q14" s="2"/>
      <c r="R14" s="2"/>
      <c r="S14" s="2"/>
      <c r="T14" s="2"/>
      <c r="U14" s="2"/>
      <c r="V14" s="2"/>
      <c r="W14" s="2"/>
      <c r="X14" s="2"/>
      <c r="Y14" s="2"/>
      <c r="Z14" s="2"/>
    </row>
    <row r="15">
      <c r="A15" s="3" t="s">
        <v>10</v>
      </c>
      <c r="B15" s="2"/>
      <c r="C15" s="2"/>
      <c r="D15" s="2"/>
      <c r="E15" s="2"/>
      <c r="F15" s="2"/>
      <c r="G15" s="2"/>
      <c r="H15" s="2"/>
      <c r="I15" s="2"/>
      <c r="J15" s="2"/>
      <c r="K15" s="2"/>
      <c r="L15" s="2"/>
      <c r="M15" s="2"/>
      <c r="N15" s="2"/>
      <c r="O15" s="2"/>
      <c r="P15" s="2"/>
      <c r="Q15" s="2"/>
      <c r="R15" s="2"/>
      <c r="S15" s="2"/>
      <c r="T15" s="2"/>
      <c r="U15" s="2"/>
      <c r="V15" s="2"/>
      <c r="W15" s="2"/>
      <c r="X15" s="2"/>
      <c r="Y15" s="2"/>
      <c r="Z15" s="2"/>
    </row>
    <row r="16">
      <c r="A16" s="3" t="s">
        <v>11</v>
      </c>
      <c r="B16" s="2"/>
      <c r="C16" s="2"/>
      <c r="D16" s="2"/>
      <c r="E16" s="2"/>
      <c r="F16" s="2"/>
      <c r="G16" s="2"/>
      <c r="H16" s="2"/>
      <c r="I16" s="2"/>
      <c r="J16" s="2"/>
      <c r="K16" s="2"/>
      <c r="L16" s="2"/>
      <c r="M16" s="2"/>
      <c r="N16" s="2"/>
      <c r="O16" s="2"/>
      <c r="P16" s="2"/>
      <c r="Q16" s="2"/>
      <c r="R16" s="2"/>
      <c r="S16" s="2"/>
      <c r="T16" s="2"/>
      <c r="U16" s="2"/>
      <c r="V16" s="2"/>
      <c r="W16" s="2"/>
      <c r="X16" s="2"/>
      <c r="Y16" s="2"/>
      <c r="Z16" s="2"/>
    </row>
    <row r="17">
      <c r="A17" s="3"/>
      <c r="B17" s="2"/>
      <c r="C17" s="2"/>
      <c r="D17" s="2"/>
      <c r="E17" s="2"/>
      <c r="F17" s="2"/>
      <c r="G17" s="2"/>
      <c r="H17" s="2"/>
      <c r="I17" s="2"/>
      <c r="J17" s="2"/>
      <c r="K17" s="2"/>
      <c r="L17" s="2"/>
      <c r="M17" s="2"/>
      <c r="N17" s="2"/>
      <c r="O17" s="2"/>
      <c r="P17" s="2"/>
      <c r="Q17" s="2"/>
      <c r="R17" s="2"/>
      <c r="S17" s="2"/>
      <c r="T17" s="2"/>
      <c r="U17" s="2"/>
      <c r="V17" s="2"/>
      <c r="W17" s="2"/>
      <c r="X17" s="2"/>
      <c r="Y17" s="2"/>
      <c r="Z17" s="2"/>
    </row>
    <row r="18">
      <c r="A18" s="4" t="s">
        <v>12</v>
      </c>
      <c r="B18" s="2"/>
      <c r="C18" s="2"/>
      <c r="D18" s="2"/>
      <c r="E18" s="2"/>
      <c r="F18" s="2"/>
      <c r="G18" s="2"/>
      <c r="H18" s="2"/>
      <c r="I18" s="2"/>
      <c r="J18" s="2"/>
      <c r="K18" s="2"/>
      <c r="L18" s="2"/>
      <c r="M18" s="2"/>
      <c r="N18" s="2"/>
      <c r="O18" s="2"/>
      <c r="P18" s="2"/>
      <c r="Q18" s="2"/>
      <c r="R18" s="2"/>
      <c r="S18" s="2"/>
      <c r="T18" s="2"/>
      <c r="U18" s="2"/>
      <c r="V18" s="2"/>
      <c r="W18" s="2"/>
      <c r="X18" s="2"/>
      <c r="Y18" s="2"/>
      <c r="Z18" s="2"/>
    </row>
    <row r="19">
      <c r="A19" s="3" t="s">
        <v>13</v>
      </c>
      <c r="B19" s="2"/>
      <c r="C19" s="2"/>
      <c r="D19" s="2"/>
      <c r="E19" s="2"/>
      <c r="F19" s="2"/>
      <c r="G19" s="2"/>
      <c r="H19" s="2"/>
      <c r="I19" s="2"/>
      <c r="J19" s="2"/>
      <c r="K19" s="2"/>
      <c r="L19" s="2"/>
      <c r="M19" s="2"/>
      <c r="N19" s="2"/>
      <c r="O19" s="2"/>
      <c r="P19" s="2"/>
      <c r="Q19" s="2"/>
      <c r="R19" s="2"/>
      <c r="S19" s="2"/>
      <c r="T19" s="2"/>
      <c r="U19" s="2"/>
      <c r="V19" s="2"/>
      <c r="W19" s="2"/>
      <c r="X19" s="2"/>
      <c r="Y19" s="2"/>
      <c r="Z19" s="2"/>
    </row>
    <row r="20">
      <c r="A20" s="3" t="s">
        <v>14</v>
      </c>
      <c r="B20" s="2"/>
      <c r="C20" s="2"/>
      <c r="D20" s="2"/>
      <c r="E20" s="2"/>
      <c r="F20" s="2"/>
      <c r="G20" s="2"/>
      <c r="H20" s="2"/>
      <c r="I20" s="2"/>
      <c r="J20" s="2"/>
      <c r="K20" s="2"/>
      <c r="L20" s="2"/>
      <c r="M20" s="2"/>
      <c r="N20" s="2"/>
      <c r="O20" s="2"/>
      <c r="P20" s="2"/>
      <c r="Q20" s="2"/>
      <c r="R20" s="2"/>
      <c r="S20" s="2"/>
      <c r="T20" s="2"/>
      <c r="U20" s="2"/>
      <c r="V20" s="2"/>
      <c r="W20" s="2"/>
      <c r="X20" s="2"/>
      <c r="Y20" s="2"/>
      <c r="Z20" s="2"/>
    </row>
    <row r="21">
      <c r="A21" s="3" t="s">
        <v>15</v>
      </c>
      <c r="B21" s="2"/>
      <c r="C21" s="2"/>
      <c r="D21" s="2"/>
      <c r="E21" s="2"/>
      <c r="F21" s="2"/>
      <c r="G21" s="2"/>
      <c r="H21" s="2"/>
      <c r="I21" s="2"/>
      <c r="J21" s="2"/>
      <c r="K21" s="2"/>
      <c r="L21" s="2"/>
      <c r="M21" s="2"/>
      <c r="N21" s="2"/>
      <c r="O21" s="2"/>
      <c r="P21" s="2"/>
      <c r="Q21" s="2"/>
      <c r="R21" s="2"/>
      <c r="S21" s="2"/>
      <c r="T21" s="2"/>
      <c r="U21" s="2"/>
      <c r="V21" s="2"/>
      <c r="W21" s="2"/>
      <c r="X21" s="2"/>
      <c r="Y21" s="2"/>
      <c r="Z21" s="2"/>
    </row>
    <row r="22">
      <c r="A22" s="3"/>
      <c r="B22" s="2"/>
      <c r="C22" s="2"/>
      <c r="D22" s="2"/>
      <c r="E22" s="2"/>
      <c r="F22" s="2"/>
      <c r="G22" s="2"/>
      <c r="H22" s="2"/>
      <c r="I22" s="2"/>
      <c r="J22" s="2"/>
      <c r="K22" s="2"/>
      <c r="L22" s="2"/>
      <c r="M22" s="2"/>
      <c r="N22" s="2"/>
      <c r="O22" s="2"/>
      <c r="P22" s="2"/>
      <c r="Q22" s="2"/>
      <c r="R22" s="2"/>
      <c r="S22" s="2"/>
      <c r="T22" s="2"/>
      <c r="U22" s="2"/>
      <c r="V22" s="2"/>
      <c r="W22" s="2"/>
      <c r="X22" s="2"/>
      <c r="Y22" s="2"/>
      <c r="Z22" s="2"/>
    </row>
    <row r="23">
      <c r="A23" s="4" t="s">
        <v>16</v>
      </c>
      <c r="B23" s="2"/>
      <c r="C23" s="2"/>
      <c r="D23" s="2"/>
      <c r="E23" s="2"/>
      <c r="F23" s="2"/>
      <c r="G23" s="2"/>
      <c r="H23" s="2"/>
      <c r="I23" s="2"/>
      <c r="J23" s="2"/>
      <c r="K23" s="2"/>
      <c r="L23" s="2"/>
      <c r="M23" s="2"/>
      <c r="N23" s="2"/>
      <c r="O23" s="2"/>
      <c r="P23" s="2"/>
      <c r="Q23" s="2"/>
      <c r="R23" s="2"/>
      <c r="S23" s="2"/>
      <c r="T23" s="2"/>
      <c r="U23" s="2"/>
      <c r="V23" s="2"/>
      <c r="W23" s="2"/>
      <c r="X23" s="2"/>
      <c r="Y23" s="2"/>
      <c r="Z23" s="2"/>
    </row>
    <row r="24">
      <c r="A24" s="3" t="s">
        <v>17</v>
      </c>
      <c r="B24" s="2"/>
      <c r="C24" s="2"/>
      <c r="D24" s="2"/>
      <c r="E24" s="2"/>
      <c r="F24" s="2"/>
      <c r="G24" s="2"/>
      <c r="H24" s="2"/>
      <c r="I24" s="2"/>
      <c r="J24" s="2"/>
      <c r="K24" s="2"/>
      <c r="L24" s="2"/>
      <c r="M24" s="2"/>
      <c r="N24" s="2"/>
      <c r="O24" s="2"/>
      <c r="P24" s="2"/>
      <c r="Q24" s="2"/>
      <c r="R24" s="2"/>
      <c r="S24" s="2"/>
      <c r="T24" s="2"/>
      <c r="U24" s="2"/>
      <c r="V24" s="2"/>
      <c r="W24" s="2"/>
      <c r="X24" s="2"/>
      <c r="Y24" s="2"/>
      <c r="Z24" s="2"/>
    </row>
    <row r="25">
      <c r="A25" s="3" t="s">
        <v>18</v>
      </c>
      <c r="B25" s="2"/>
      <c r="C25" s="2"/>
      <c r="D25" s="2"/>
      <c r="E25" s="2"/>
      <c r="F25" s="2"/>
      <c r="G25" s="2"/>
      <c r="H25" s="2"/>
      <c r="I25" s="2"/>
      <c r="J25" s="2"/>
      <c r="K25" s="2"/>
      <c r="L25" s="2"/>
      <c r="M25" s="2"/>
      <c r="N25" s="2"/>
      <c r="O25" s="2"/>
      <c r="P25" s="2"/>
      <c r="Q25" s="2"/>
      <c r="R25" s="2"/>
      <c r="S25" s="2"/>
      <c r="T25" s="2"/>
      <c r="U25" s="2"/>
      <c r="V25" s="2"/>
      <c r="W25" s="2"/>
      <c r="X25" s="2"/>
      <c r="Y25" s="2"/>
      <c r="Z25" s="2"/>
    </row>
    <row r="26">
      <c r="A26" s="3"/>
      <c r="B26" s="2"/>
      <c r="C26" s="2"/>
      <c r="D26" s="2"/>
      <c r="E26" s="2"/>
      <c r="F26" s="2"/>
      <c r="G26" s="2"/>
      <c r="H26" s="2"/>
      <c r="I26" s="2"/>
      <c r="J26" s="2"/>
      <c r="K26" s="2"/>
      <c r="L26" s="2"/>
      <c r="M26" s="2"/>
      <c r="N26" s="2"/>
      <c r="O26" s="2"/>
      <c r="P26" s="2"/>
      <c r="Q26" s="2"/>
      <c r="R26" s="2"/>
      <c r="S26" s="2"/>
      <c r="T26" s="2"/>
      <c r="U26" s="2"/>
      <c r="V26" s="2"/>
      <c r="W26" s="2"/>
      <c r="X26" s="2"/>
      <c r="Y26" s="2"/>
      <c r="Z26" s="2"/>
    </row>
    <row r="27">
      <c r="A27" s="4" t="s">
        <v>19</v>
      </c>
      <c r="B27" s="2"/>
      <c r="C27" s="2"/>
      <c r="D27" s="2"/>
      <c r="E27" s="2"/>
      <c r="F27" s="2"/>
      <c r="G27" s="2"/>
      <c r="H27" s="2"/>
      <c r="I27" s="2"/>
      <c r="J27" s="2"/>
      <c r="K27" s="2"/>
      <c r="L27" s="2"/>
      <c r="M27" s="2"/>
      <c r="N27" s="2"/>
      <c r="O27" s="2"/>
      <c r="P27" s="2"/>
      <c r="Q27" s="2"/>
      <c r="R27" s="2"/>
      <c r="S27" s="2"/>
      <c r="T27" s="2"/>
      <c r="U27" s="2"/>
      <c r="V27" s="2"/>
      <c r="W27" s="2"/>
      <c r="X27" s="2"/>
      <c r="Y27" s="2"/>
      <c r="Z27" s="2"/>
    </row>
    <row r="28">
      <c r="A28" s="3" t="s">
        <v>20</v>
      </c>
      <c r="B28" s="2"/>
      <c r="C28" s="2"/>
      <c r="D28" s="2"/>
      <c r="E28" s="2"/>
      <c r="F28" s="2"/>
      <c r="G28" s="2"/>
      <c r="H28" s="2"/>
      <c r="I28" s="2"/>
      <c r="J28" s="2"/>
      <c r="K28" s="2"/>
      <c r="L28" s="2"/>
      <c r="M28" s="2"/>
      <c r="N28" s="2"/>
      <c r="O28" s="2"/>
      <c r="P28" s="2"/>
      <c r="Q28" s="2"/>
      <c r="R28" s="2"/>
      <c r="S28" s="2"/>
      <c r="T28" s="2"/>
      <c r="U28" s="2"/>
      <c r="V28" s="2"/>
      <c r="W28" s="2"/>
      <c r="X28" s="2"/>
      <c r="Y28" s="2"/>
      <c r="Z28" s="2"/>
    </row>
    <row r="29">
      <c r="A29" s="3" t="s">
        <v>21</v>
      </c>
      <c r="B29" s="2"/>
      <c r="C29" s="2"/>
      <c r="D29" s="2"/>
      <c r="E29" s="2"/>
      <c r="F29" s="2"/>
      <c r="G29" s="2"/>
      <c r="H29" s="2"/>
      <c r="I29" s="2"/>
      <c r="J29" s="2"/>
      <c r="K29" s="2"/>
      <c r="L29" s="2"/>
      <c r="M29" s="2"/>
      <c r="N29" s="2"/>
      <c r="O29" s="2"/>
      <c r="P29" s="2"/>
      <c r="Q29" s="2"/>
      <c r="R29" s="2"/>
      <c r="S29" s="2"/>
      <c r="T29" s="2"/>
      <c r="U29" s="2"/>
      <c r="V29" s="2"/>
      <c r="W29" s="2"/>
      <c r="X29" s="2"/>
      <c r="Y29" s="2"/>
      <c r="Z29" s="2"/>
    </row>
    <row r="30">
      <c r="A30" s="3"/>
      <c r="B30" s="2"/>
      <c r="C30" s="2"/>
      <c r="D30" s="2"/>
      <c r="E30" s="2"/>
      <c r="F30" s="2"/>
      <c r="G30" s="2"/>
      <c r="H30" s="2"/>
      <c r="I30" s="2"/>
      <c r="J30" s="2"/>
      <c r="K30" s="2"/>
      <c r="L30" s="2"/>
      <c r="M30" s="2"/>
      <c r="N30" s="2"/>
      <c r="O30" s="2"/>
      <c r="P30" s="2"/>
      <c r="Q30" s="2"/>
      <c r="R30" s="2"/>
      <c r="S30" s="2"/>
      <c r="T30" s="2"/>
      <c r="U30" s="2"/>
      <c r="V30" s="2"/>
      <c r="W30" s="2"/>
      <c r="X30" s="2"/>
      <c r="Y30" s="2"/>
      <c r="Z30" s="2"/>
    </row>
    <row r="31">
      <c r="A31" s="4" t="s">
        <v>22</v>
      </c>
      <c r="B31" s="2"/>
      <c r="C31" s="2"/>
      <c r="D31" s="2"/>
      <c r="E31" s="2"/>
      <c r="F31" s="2"/>
      <c r="G31" s="2"/>
      <c r="H31" s="2"/>
      <c r="I31" s="2"/>
      <c r="J31" s="2"/>
      <c r="K31" s="2"/>
      <c r="L31" s="2"/>
      <c r="M31" s="2"/>
      <c r="N31" s="2"/>
      <c r="O31" s="2"/>
      <c r="P31" s="2"/>
      <c r="Q31" s="2"/>
      <c r="R31" s="2"/>
      <c r="S31" s="2"/>
      <c r="T31" s="2"/>
      <c r="U31" s="2"/>
      <c r="V31" s="2"/>
      <c r="W31" s="2"/>
      <c r="X31" s="2"/>
      <c r="Y31" s="2"/>
      <c r="Z31" s="2"/>
    </row>
    <row r="32">
      <c r="A32" s="3" t="s">
        <v>23</v>
      </c>
      <c r="B32" s="2"/>
      <c r="C32" s="2"/>
      <c r="D32" s="2"/>
      <c r="E32" s="2"/>
      <c r="F32" s="2"/>
      <c r="G32" s="2"/>
      <c r="H32" s="2"/>
      <c r="I32" s="2"/>
      <c r="J32" s="2"/>
      <c r="K32" s="2"/>
      <c r="L32" s="2"/>
      <c r="M32" s="2"/>
      <c r="N32" s="2"/>
      <c r="O32" s="2"/>
      <c r="P32" s="2"/>
      <c r="Q32" s="2"/>
      <c r="R32" s="2"/>
      <c r="S32" s="2"/>
      <c r="T32" s="2"/>
      <c r="U32" s="2"/>
      <c r="V32" s="2"/>
      <c r="W32" s="2"/>
      <c r="X32" s="2"/>
      <c r="Y32" s="2"/>
      <c r="Z32" s="2"/>
    </row>
    <row r="33">
      <c r="A33" s="3" t="s">
        <v>24</v>
      </c>
      <c r="B33" s="2"/>
      <c r="C33" s="2"/>
      <c r="D33" s="2"/>
      <c r="E33" s="2"/>
      <c r="F33" s="2"/>
      <c r="G33" s="2"/>
      <c r="H33" s="2"/>
      <c r="I33" s="2"/>
      <c r="J33" s="2"/>
      <c r="K33" s="2"/>
      <c r="L33" s="2"/>
      <c r="M33" s="2"/>
      <c r="N33" s="2"/>
      <c r="O33" s="2"/>
      <c r="P33" s="2"/>
      <c r="Q33" s="2"/>
      <c r="R33" s="2"/>
      <c r="S33" s="2"/>
      <c r="T33" s="2"/>
      <c r="U33" s="2"/>
      <c r="V33" s="2"/>
      <c r="W33" s="2"/>
      <c r="X33" s="2"/>
      <c r="Y33" s="2"/>
      <c r="Z33" s="2"/>
    </row>
    <row r="34">
      <c r="A34" s="3"/>
      <c r="B34" s="2"/>
      <c r="C34" s="2"/>
      <c r="D34" s="2"/>
      <c r="E34" s="2"/>
      <c r="F34" s="2"/>
      <c r="G34" s="2"/>
      <c r="H34" s="2"/>
      <c r="I34" s="2"/>
      <c r="J34" s="2"/>
      <c r="K34" s="2"/>
      <c r="L34" s="2"/>
      <c r="M34" s="2"/>
      <c r="N34" s="2"/>
      <c r="O34" s="2"/>
      <c r="P34" s="2"/>
      <c r="Q34" s="2"/>
      <c r="R34" s="2"/>
      <c r="S34" s="2"/>
      <c r="T34" s="2"/>
      <c r="U34" s="2"/>
      <c r="V34" s="2"/>
      <c r="W34" s="2"/>
      <c r="X34" s="2"/>
      <c r="Y34" s="2"/>
      <c r="Z34" s="2"/>
    </row>
    <row r="35">
      <c r="A35" s="4" t="s">
        <v>25</v>
      </c>
      <c r="B35" s="2"/>
      <c r="C35" s="2"/>
      <c r="D35" s="2"/>
      <c r="E35" s="2"/>
      <c r="F35" s="2"/>
      <c r="G35" s="2"/>
      <c r="H35" s="2"/>
      <c r="I35" s="2"/>
      <c r="J35" s="2"/>
      <c r="K35" s="2"/>
      <c r="L35" s="2"/>
      <c r="M35" s="2"/>
      <c r="N35" s="2"/>
      <c r="O35" s="2"/>
      <c r="P35" s="2"/>
      <c r="Q35" s="2"/>
      <c r="R35" s="2"/>
      <c r="S35" s="2"/>
      <c r="T35" s="2"/>
      <c r="U35" s="2"/>
      <c r="V35" s="2"/>
      <c r="W35" s="2"/>
      <c r="X35" s="2"/>
      <c r="Y35" s="2"/>
      <c r="Z35" s="2"/>
    </row>
    <row r="36">
      <c r="A36" s="3" t="s">
        <v>26</v>
      </c>
      <c r="B36" s="2"/>
      <c r="C36" s="2"/>
      <c r="D36" s="2"/>
      <c r="E36" s="2"/>
      <c r="F36" s="2"/>
      <c r="G36" s="2"/>
      <c r="H36" s="2"/>
      <c r="I36" s="2"/>
      <c r="J36" s="2"/>
      <c r="K36" s="2"/>
      <c r="L36" s="2"/>
      <c r="M36" s="2"/>
      <c r="N36" s="2"/>
      <c r="O36" s="2"/>
      <c r="P36" s="2"/>
      <c r="Q36" s="2"/>
      <c r="R36" s="2"/>
      <c r="S36" s="2"/>
      <c r="T36" s="2"/>
      <c r="U36" s="2"/>
      <c r="V36" s="2"/>
      <c r="W36" s="2"/>
      <c r="X36" s="2"/>
      <c r="Y36" s="2"/>
      <c r="Z36" s="2"/>
    </row>
    <row r="37">
      <c r="A37" s="3" t="s">
        <v>27</v>
      </c>
      <c r="B37" s="2"/>
      <c r="C37" s="2"/>
      <c r="D37" s="2"/>
      <c r="E37" s="2"/>
      <c r="F37" s="2"/>
      <c r="G37" s="2"/>
      <c r="H37" s="2"/>
      <c r="I37" s="2"/>
      <c r="J37" s="2"/>
      <c r="K37" s="2"/>
      <c r="L37" s="2"/>
      <c r="M37" s="2"/>
      <c r="N37" s="2"/>
      <c r="O37" s="2"/>
      <c r="P37" s="2"/>
      <c r="Q37" s="2"/>
      <c r="R37" s="2"/>
      <c r="S37" s="2"/>
      <c r="T37" s="2"/>
      <c r="U37" s="2"/>
      <c r="V37" s="2"/>
      <c r="W37" s="2"/>
      <c r="X37" s="2"/>
      <c r="Y37" s="2"/>
      <c r="Z37" s="2"/>
    </row>
    <row r="38">
      <c r="A38" s="3"/>
      <c r="B38" s="2"/>
      <c r="C38" s="2"/>
      <c r="D38" s="2"/>
      <c r="E38" s="2"/>
      <c r="F38" s="2"/>
      <c r="G38" s="2"/>
      <c r="H38" s="2"/>
      <c r="I38" s="2"/>
      <c r="J38" s="2"/>
      <c r="K38" s="2"/>
      <c r="L38" s="2"/>
      <c r="M38" s="2"/>
      <c r="N38" s="2"/>
      <c r="O38" s="2"/>
      <c r="P38" s="2"/>
      <c r="Q38" s="2"/>
      <c r="R38" s="2"/>
      <c r="S38" s="2"/>
      <c r="T38" s="2"/>
      <c r="U38" s="2"/>
      <c r="V38" s="2"/>
      <c r="W38" s="2"/>
      <c r="X38" s="2"/>
      <c r="Y38" s="2"/>
      <c r="Z38" s="2"/>
    </row>
    <row r="39">
      <c r="A39" s="4" t="s">
        <v>28</v>
      </c>
      <c r="B39" s="2"/>
      <c r="C39" s="2"/>
      <c r="D39" s="2"/>
      <c r="E39" s="2"/>
      <c r="F39" s="2"/>
      <c r="G39" s="2"/>
      <c r="H39" s="2"/>
      <c r="I39" s="2"/>
      <c r="J39" s="2"/>
      <c r="K39" s="2"/>
      <c r="L39" s="2"/>
      <c r="M39" s="2"/>
      <c r="N39" s="2"/>
      <c r="O39" s="2"/>
      <c r="P39" s="2"/>
      <c r="Q39" s="2"/>
      <c r="R39" s="2"/>
      <c r="S39" s="2"/>
      <c r="T39" s="2"/>
      <c r="U39" s="2"/>
      <c r="V39" s="2"/>
      <c r="W39" s="2"/>
      <c r="X39" s="2"/>
      <c r="Y39" s="2"/>
      <c r="Z39" s="2"/>
    </row>
    <row r="40">
      <c r="A40" s="3" t="s">
        <v>29</v>
      </c>
      <c r="B40" s="2"/>
      <c r="C40" s="2"/>
      <c r="D40" s="2"/>
      <c r="E40" s="2"/>
      <c r="F40" s="2"/>
      <c r="G40" s="2"/>
      <c r="H40" s="2"/>
      <c r="I40" s="2"/>
      <c r="J40" s="2"/>
      <c r="K40" s="2"/>
      <c r="L40" s="2"/>
      <c r="M40" s="2"/>
      <c r="N40" s="2"/>
      <c r="O40" s="2"/>
      <c r="P40" s="2"/>
      <c r="Q40" s="2"/>
      <c r="R40" s="2"/>
      <c r="S40" s="2"/>
      <c r="T40" s="2"/>
      <c r="U40" s="2"/>
      <c r="V40" s="2"/>
      <c r="W40" s="2"/>
      <c r="X40" s="2"/>
      <c r="Y40" s="2"/>
      <c r="Z40" s="2"/>
    </row>
    <row r="41">
      <c r="A41" s="3"/>
      <c r="B41" s="2"/>
      <c r="C41" s="2"/>
      <c r="D41" s="2"/>
      <c r="E41" s="2"/>
      <c r="F41" s="2"/>
      <c r="G41" s="2"/>
      <c r="H41" s="2"/>
      <c r="I41" s="2"/>
      <c r="J41" s="2"/>
      <c r="K41" s="2"/>
      <c r="L41" s="2"/>
      <c r="M41" s="2"/>
      <c r="N41" s="2"/>
      <c r="O41" s="2"/>
      <c r="P41" s="2"/>
      <c r="Q41" s="2"/>
      <c r="R41" s="2"/>
      <c r="S41" s="2"/>
      <c r="T41" s="2"/>
      <c r="U41" s="2"/>
      <c r="V41" s="2"/>
      <c r="W41" s="2"/>
      <c r="X41" s="2"/>
      <c r="Y41" s="2"/>
      <c r="Z41" s="2"/>
    </row>
    <row r="42">
      <c r="A42" s="4" t="s">
        <v>30</v>
      </c>
      <c r="B42" s="2"/>
      <c r="C42" s="2"/>
      <c r="D42" s="2"/>
      <c r="E42" s="2"/>
      <c r="F42" s="2"/>
      <c r="G42" s="2"/>
      <c r="H42" s="2"/>
      <c r="I42" s="2"/>
      <c r="J42" s="2"/>
      <c r="K42" s="2"/>
      <c r="L42" s="2"/>
      <c r="M42" s="2"/>
      <c r="N42" s="2"/>
      <c r="O42" s="2"/>
      <c r="P42" s="2"/>
      <c r="Q42" s="2"/>
      <c r="R42" s="2"/>
      <c r="S42" s="2"/>
      <c r="T42" s="2"/>
      <c r="U42" s="2"/>
      <c r="V42" s="2"/>
      <c r="W42" s="2"/>
      <c r="X42" s="2"/>
      <c r="Y42" s="2"/>
      <c r="Z42" s="2"/>
    </row>
    <row r="43">
      <c r="A43" s="3" t="s">
        <v>31</v>
      </c>
      <c r="B43" s="2"/>
      <c r="C43" s="2"/>
      <c r="D43" s="2"/>
      <c r="E43" s="2"/>
      <c r="F43" s="2"/>
      <c r="G43" s="2"/>
      <c r="H43" s="2"/>
      <c r="I43" s="2"/>
      <c r="J43" s="2"/>
      <c r="K43" s="2"/>
      <c r="L43" s="2"/>
      <c r="M43" s="2"/>
      <c r="N43" s="2"/>
      <c r="O43" s="2"/>
      <c r="P43" s="2"/>
      <c r="Q43" s="2"/>
      <c r="R43" s="2"/>
      <c r="S43" s="2"/>
      <c r="T43" s="2"/>
      <c r="U43" s="2"/>
      <c r="V43" s="2"/>
      <c r="W43" s="2"/>
      <c r="X43" s="2"/>
      <c r="Y43" s="2"/>
      <c r="Z43" s="2"/>
    </row>
    <row r="44">
      <c r="A44" s="3"/>
      <c r="B44" s="2"/>
      <c r="C44" s="2"/>
      <c r="D44" s="2"/>
      <c r="E44" s="2"/>
      <c r="F44" s="2"/>
      <c r="G44" s="2"/>
      <c r="H44" s="2"/>
      <c r="I44" s="2"/>
      <c r="J44" s="2"/>
      <c r="K44" s="2"/>
      <c r="L44" s="2"/>
      <c r="M44" s="2"/>
      <c r="N44" s="2"/>
      <c r="O44" s="2"/>
      <c r="P44" s="2"/>
      <c r="Q44" s="2"/>
      <c r="R44" s="2"/>
      <c r="S44" s="2"/>
      <c r="T44" s="2"/>
      <c r="U44" s="2"/>
      <c r="V44" s="2"/>
      <c r="W44" s="2"/>
      <c r="X44" s="2"/>
      <c r="Y44" s="2"/>
      <c r="Z44" s="2"/>
    </row>
    <row r="45">
      <c r="A45" s="4" t="s">
        <v>32</v>
      </c>
      <c r="B45" s="2"/>
      <c r="C45" s="2"/>
      <c r="D45" s="2"/>
      <c r="E45" s="2"/>
      <c r="F45" s="2"/>
      <c r="G45" s="2"/>
      <c r="H45" s="2"/>
      <c r="I45" s="2"/>
      <c r="J45" s="2"/>
      <c r="K45" s="2"/>
      <c r="L45" s="2"/>
      <c r="M45" s="2"/>
      <c r="N45" s="2"/>
      <c r="O45" s="2"/>
      <c r="P45" s="2"/>
      <c r="Q45" s="2"/>
      <c r="R45" s="2"/>
      <c r="S45" s="2"/>
      <c r="T45" s="2"/>
      <c r="U45" s="2"/>
      <c r="V45" s="2"/>
      <c r="W45" s="2"/>
      <c r="X45" s="2"/>
      <c r="Y45" s="2"/>
      <c r="Z45" s="2"/>
    </row>
    <row r="46">
      <c r="A46" s="3" t="s">
        <v>33</v>
      </c>
      <c r="B46" s="2"/>
      <c r="C46" s="2"/>
      <c r="D46" s="2"/>
      <c r="E46" s="2"/>
      <c r="F46" s="2"/>
      <c r="G46" s="2"/>
      <c r="H46" s="2"/>
      <c r="I46" s="2"/>
      <c r="J46" s="2"/>
      <c r="K46" s="2"/>
      <c r="L46" s="2"/>
      <c r="M46" s="2"/>
      <c r="N46" s="2"/>
      <c r="O46" s="2"/>
      <c r="P46" s="2"/>
      <c r="Q46" s="2"/>
      <c r="R46" s="2"/>
      <c r="S46" s="2"/>
      <c r="T46" s="2"/>
      <c r="U46" s="2"/>
      <c r="V46" s="2"/>
      <c r="W46" s="2"/>
      <c r="X46" s="2"/>
      <c r="Y46" s="2"/>
      <c r="Z46" s="2"/>
    </row>
    <row r="47">
      <c r="A47" s="3"/>
      <c r="B47" s="2"/>
      <c r="C47" s="2"/>
      <c r="D47" s="2"/>
      <c r="E47" s="2"/>
      <c r="F47" s="2"/>
      <c r="G47" s="2"/>
      <c r="H47" s="2"/>
      <c r="I47" s="2"/>
      <c r="J47" s="2"/>
      <c r="K47" s="2"/>
      <c r="L47" s="2"/>
      <c r="M47" s="2"/>
      <c r="N47" s="2"/>
      <c r="O47" s="2"/>
      <c r="P47" s="2"/>
      <c r="Q47" s="2"/>
      <c r="R47" s="2"/>
      <c r="S47" s="2"/>
      <c r="T47" s="2"/>
      <c r="U47" s="2"/>
      <c r="V47" s="2"/>
      <c r="W47" s="2"/>
      <c r="X47" s="2"/>
      <c r="Y47" s="2"/>
      <c r="Z47" s="2"/>
    </row>
    <row r="48">
      <c r="A48" s="4" t="s">
        <v>34</v>
      </c>
      <c r="B48" s="2"/>
      <c r="C48" s="2"/>
      <c r="D48" s="2"/>
      <c r="E48" s="2"/>
      <c r="F48" s="2"/>
      <c r="G48" s="2"/>
      <c r="H48" s="2"/>
      <c r="I48" s="2"/>
      <c r="J48" s="2"/>
      <c r="K48" s="2"/>
      <c r="L48" s="2"/>
      <c r="M48" s="2"/>
      <c r="N48" s="2"/>
      <c r="O48" s="2"/>
      <c r="P48" s="2"/>
      <c r="Q48" s="2"/>
      <c r="R48" s="2"/>
      <c r="S48" s="2"/>
      <c r="T48" s="2"/>
      <c r="U48" s="2"/>
      <c r="V48" s="2"/>
      <c r="W48" s="2"/>
      <c r="X48" s="2"/>
      <c r="Y48" s="2"/>
      <c r="Z48" s="2"/>
    </row>
    <row r="49">
      <c r="A49" s="3" t="s">
        <v>35</v>
      </c>
      <c r="B49" s="2"/>
      <c r="C49" s="2"/>
      <c r="D49" s="2"/>
      <c r="E49" s="2"/>
      <c r="F49" s="2"/>
      <c r="G49" s="2"/>
      <c r="H49" s="2"/>
      <c r="I49" s="2"/>
      <c r="J49" s="2"/>
      <c r="K49" s="2"/>
      <c r="L49" s="2"/>
      <c r="M49" s="2"/>
      <c r="N49" s="2"/>
      <c r="O49" s="2"/>
      <c r="P49" s="2"/>
      <c r="Q49" s="2"/>
      <c r="R49" s="2"/>
      <c r="S49" s="2"/>
      <c r="T49" s="2"/>
      <c r="U49" s="2"/>
      <c r="V49" s="2"/>
      <c r="W49" s="2"/>
      <c r="X49" s="2"/>
      <c r="Y49" s="2"/>
      <c r="Z49" s="2"/>
    </row>
    <row r="50">
      <c r="A50" s="3" t="s">
        <v>36</v>
      </c>
      <c r="B50" s="2"/>
      <c r="C50" s="2"/>
      <c r="D50" s="2"/>
      <c r="E50" s="2"/>
      <c r="F50" s="2"/>
      <c r="G50" s="2"/>
      <c r="H50" s="2"/>
      <c r="I50" s="2"/>
      <c r="J50" s="2"/>
      <c r="K50" s="2"/>
      <c r="L50" s="2"/>
      <c r="M50" s="2"/>
      <c r="N50" s="2"/>
      <c r="O50" s="2"/>
      <c r="P50" s="2"/>
      <c r="Q50" s="2"/>
      <c r="R50" s="2"/>
      <c r="S50" s="2"/>
      <c r="T50" s="2"/>
      <c r="U50" s="2"/>
      <c r="V50" s="2"/>
      <c r="W50" s="2"/>
      <c r="X50" s="2"/>
      <c r="Y50" s="2"/>
      <c r="Z50" s="2"/>
    </row>
    <row r="51">
      <c r="A51" s="3"/>
      <c r="B51" s="2"/>
      <c r="C51" s="2"/>
      <c r="D51" s="2"/>
      <c r="E51" s="2"/>
      <c r="F51" s="2"/>
      <c r="G51" s="2"/>
      <c r="H51" s="2"/>
      <c r="I51" s="2"/>
      <c r="J51" s="2"/>
      <c r="K51" s="2"/>
      <c r="L51" s="2"/>
      <c r="M51" s="2"/>
      <c r="N51" s="2"/>
      <c r="O51" s="2"/>
      <c r="P51" s="2"/>
      <c r="Q51" s="2"/>
      <c r="R51" s="2"/>
      <c r="S51" s="2"/>
      <c r="T51" s="2"/>
      <c r="U51" s="2"/>
      <c r="V51" s="2"/>
      <c r="W51" s="2"/>
      <c r="X51" s="2"/>
      <c r="Y51" s="2"/>
      <c r="Z51" s="2"/>
    </row>
    <row r="52">
      <c r="A52" s="4" t="s">
        <v>37</v>
      </c>
      <c r="B52" s="2"/>
      <c r="C52" s="2"/>
      <c r="D52" s="2"/>
      <c r="E52" s="2"/>
      <c r="F52" s="2"/>
      <c r="G52" s="2"/>
      <c r="H52" s="2"/>
      <c r="I52" s="2"/>
      <c r="J52" s="2"/>
      <c r="K52" s="2"/>
      <c r="L52" s="2"/>
      <c r="M52" s="2"/>
      <c r="N52" s="2"/>
      <c r="O52" s="2"/>
      <c r="P52" s="2"/>
      <c r="Q52" s="2"/>
      <c r="R52" s="2"/>
      <c r="S52" s="2"/>
      <c r="T52" s="2"/>
      <c r="U52" s="2"/>
      <c r="V52" s="2"/>
      <c r="W52" s="2"/>
      <c r="X52" s="2"/>
      <c r="Y52" s="2"/>
      <c r="Z52" s="2"/>
    </row>
    <row r="53">
      <c r="A53" s="3" t="s">
        <v>38</v>
      </c>
      <c r="B53" s="2"/>
      <c r="C53" s="2"/>
      <c r="D53" s="2"/>
      <c r="E53" s="2"/>
      <c r="F53" s="2"/>
      <c r="G53" s="2"/>
      <c r="H53" s="2"/>
      <c r="I53" s="2"/>
      <c r="J53" s="2"/>
      <c r="K53" s="2"/>
      <c r="L53" s="2"/>
      <c r="M53" s="2"/>
      <c r="N53" s="2"/>
      <c r="O53" s="2"/>
      <c r="P53" s="2"/>
      <c r="Q53" s="2"/>
      <c r="R53" s="2"/>
      <c r="S53" s="2"/>
      <c r="T53" s="2"/>
      <c r="U53" s="2"/>
      <c r="V53" s="2"/>
      <c r="W53" s="2"/>
      <c r="X53" s="2"/>
      <c r="Y53" s="2"/>
      <c r="Z53" s="2"/>
    </row>
    <row r="54">
      <c r="A54" s="3"/>
      <c r="B54" s="2"/>
      <c r="C54" s="2"/>
      <c r="D54" s="2"/>
      <c r="E54" s="2"/>
      <c r="F54" s="2"/>
      <c r="G54" s="2"/>
      <c r="H54" s="2"/>
      <c r="I54" s="2"/>
      <c r="J54" s="2"/>
      <c r="K54" s="2"/>
      <c r="L54" s="2"/>
      <c r="M54" s="2"/>
      <c r="N54" s="2"/>
      <c r="O54" s="2"/>
      <c r="P54" s="2"/>
      <c r="Q54" s="2"/>
      <c r="R54" s="2"/>
      <c r="S54" s="2"/>
      <c r="T54" s="2"/>
      <c r="U54" s="2"/>
      <c r="V54" s="2"/>
      <c r="W54" s="2"/>
      <c r="X54" s="2"/>
      <c r="Y54" s="2"/>
      <c r="Z54" s="2"/>
    </row>
    <row r="55">
      <c r="A55" s="4" t="s">
        <v>39</v>
      </c>
      <c r="B55" s="2"/>
      <c r="C55" s="2"/>
      <c r="D55" s="2"/>
      <c r="E55" s="2"/>
      <c r="F55" s="2"/>
      <c r="G55" s="2"/>
      <c r="H55" s="2"/>
      <c r="I55" s="2"/>
      <c r="J55" s="2"/>
      <c r="K55" s="2"/>
      <c r="L55" s="2"/>
      <c r="M55" s="2"/>
      <c r="N55" s="2"/>
      <c r="O55" s="2"/>
      <c r="P55" s="2"/>
      <c r="Q55" s="2"/>
      <c r="R55" s="2"/>
      <c r="S55" s="2"/>
      <c r="T55" s="2"/>
      <c r="U55" s="2"/>
      <c r="V55" s="2"/>
      <c r="W55" s="2"/>
      <c r="X55" s="2"/>
      <c r="Y55" s="2"/>
      <c r="Z55" s="2"/>
    </row>
    <row r="56">
      <c r="A56" s="3" t="s">
        <v>40</v>
      </c>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6.5"/>
  </cols>
  <sheetData>
    <row r="1">
      <c r="A1" s="1" t="s">
        <v>41</v>
      </c>
      <c r="B1" s="1" t="s">
        <v>42</v>
      </c>
      <c r="C1" s="1" t="s">
        <v>43</v>
      </c>
      <c r="D1" s="1" t="s">
        <v>44</v>
      </c>
      <c r="E1" s="1" t="s">
        <v>45</v>
      </c>
      <c r="F1" s="1" t="s">
        <v>46</v>
      </c>
      <c r="G1" s="5" t="s">
        <v>47</v>
      </c>
      <c r="H1" s="5" t="s">
        <v>48</v>
      </c>
      <c r="I1" s="6"/>
      <c r="J1" s="6"/>
      <c r="K1" s="6"/>
      <c r="L1" s="6"/>
      <c r="M1" s="6"/>
      <c r="N1" s="6"/>
      <c r="O1" s="6"/>
      <c r="P1" s="6"/>
      <c r="Q1" s="6"/>
      <c r="R1" s="6"/>
      <c r="S1" s="6"/>
      <c r="T1" s="6"/>
      <c r="U1" s="6"/>
      <c r="V1" s="6"/>
      <c r="W1" s="6"/>
      <c r="X1" s="6"/>
      <c r="Y1" s="6"/>
    </row>
    <row r="2">
      <c r="A2" s="7">
        <v>1001.0</v>
      </c>
      <c r="B2" s="7" t="s">
        <v>49</v>
      </c>
      <c r="C2" s="7">
        <v>61.0</v>
      </c>
      <c r="D2" s="7">
        <v>48.0</v>
      </c>
      <c r="E2" s="7">
        <v>76.0</v>
      </c>
      <c r="F2" s="8">
        <v>43101.0</v>
      </c>
      <c r="G2" s="9">
        <f t="shared" ref="G2:G21" si="1">ROUND(AVERAGE(C2:E2),0)</f>
        <v>62</v>
      </c>
      <c r="H2" s="9" t="str">
        <f t="shared" ref="H2:H21" si="2">IF(G2&gt;=80,"A",IF(G2&gt;=60,"B",IF(G2&gt;=50,"C",IF(G2&gt;=40,"D","Fail"))))</f>
        <v>B</v>
      </c>
      <c r="I2" s="10" t="str">
        <f t="shared" ref="I2:I21" si="3">IF(AND(C2&gt;60,D2&gt;60,E2&gt;60),"Yes","No")</f>
        <v>No</v>
      </c>
      <c r="J2" s="2">
        <f>COUNTIFS(C2:C21,"&gt;60",D2:D21,"&gt;60",E2:E21,"&gt;60")</f>
        <v>6</v>
      </c>
      <c r="K2" s="2">
        <f>IFERROR(__xludf.DUMMYFUNCTION("FILTER(A2:F21, (C2:C21+D2:D21+E2:E21)/3&gt;80)"),1012.0)</f>
        <v>1012</v>
      </c>
      <c r="L2" s="2" t="str">
        <f>IFERROR(__xludf.DUMMYFUNCTION("""COMPUTED_VALUE"""),"Student 12")</f>
        <v>Student 12</v>
      </c>
      <c r="M2" s="2">
        <f>IFERROR(__xludf.DUMMYFUNCTION("""COMPUTED_VALUE"""),85.0)</f>
        <v>85</v>
      </c>
      <c r="N2" s="2">
        <f>IFERROR(__xludf.DUMMYFUNCTION("""COMPUTED_VALUE"""),89.0)</f>
        <v>89</v>
      </c>
      <c r="O2" s="2">
        <f>IFERROR(__xludf.DUMMYFUNCTION("""COMPUTED_VALUE"""),79.0)</f>
        <v>79</v>
      </c>
      <c r="P2" s="11">
        <f>IFERROR(__xludf.DUMMYFUNCTION("""COMPUTED_VALUE"""),45081.0)</f>
        <v>45081</v>
      </c>
      <c r="Q2" s="2"/>
      <c r="R2" s="2"/>
      <c r="S2" s="2"/>
      <c r="T2" s="2"/>
      <c r="U2" s="2"/>
      <c r="V2" s="2"/>
      <c r="W2" s="2"/>
      <c r="X2" s="2"/>
      <c r="Y2" s="2"/>
    </row>
    <row r="3">
      <c r="A3" s="7">
        <v>1002.0</v>
      </c>
      <c r="B3" s="7" t="s">
        <v>50</v>
      </c>
      <c r="C3" s="7">
        <v>78.0</v>
      </c>
      <c r="D3" s="7">
        <v>76.0</v>
      </c>
      <c r="E3" s="7">
        <v>70.0</v>
      </c>
      <c r="F3" s="8">
        <v>43281.0</v>
      </c>
      <c r="G3" s="9">
        <f t="shared" si="1"/>
        <v>75</v>
      </c>
      <c r="H3" s="9" t="str">
        <f t="shared" si="2"/>
        <v>B</v>
      </c>
      <c r="I3" s="10" t="str">
        <f t="shared" si="3"/>
        <v>Yes</v>
      </c>
      <c r="J3" s="2"/>
      <c r="K3" s="2">
        <f>IFERROR(__xludf.DUMMYFUNCTION("""COMPUTED_VALUE"""),1013.0)</f>
        <v>1013</v>
      </c>
      <c r="L3" s="2" t="str">
        <f>IFERROR(__xludf.DUMMYFUNCTION("""COMPUTED_VALUE"""),"Student 13")</f>
        <v>Student 13</v>
      </c>
      <c r="M3" s="2">
        <f>IFERROR(__xludf.DUMMYFUNCTION("""COMPUTED_VALUE"""),98.0)</f>
        <v>98</v>
      </c>
      <c r="N3" s="2">
        <f>IFERROR(__xludf.DUMMYFUNCTION("""COMPUTED_VALUE"""),90.0)</f>
        <v>90</v>
      </c>
      <c r="O3" s="2">
        <f>IFERROR(__xludf.DUMMYFUNCTION("""COMPUTED_VALUE"""),97.0)</f>
        <v>97</v>
      </c>
      <c r="P3" s="11">
        <f>IFERROR(__xludf.DUMMYFUNCTION("""COMPUTED_VALUE"""),45261.0)</f>
        <v>45261</v>
      </c>
      <c r="Q3" s="2"/>
      <c r="R3" s="2"/>
      <c r="S3" s="2"/>
      <c r="T3" s="2"/>
      <c r="U3" s="2"/>
      <c r="V3" s="2"/>
      <c r="W3" s="2"/>
      <c r="X3" s="2"/>
      <c r="Y3" s="2"/>
    </row>
    <row r="4">
      <c r="A4" s="7">
        <v>1003.0</v>
      </c>
      <c r="B4" s="7" t="s">
        <v>51</v>
      </c>
      <c r="C4" s="7">
        <v>97.0</v>
      </c>
      <c r="D4" s="7">
        <v>60.0</v>
      </c>
      <c r="E4" s="7">
        <v>51.0</v>
      </c>
      <c r="F4" s="8">
        <v>43461.0</v>
      </c>
      <c r="G4" s="9">
        <f t="shared" si="1"/>
        <v>69</v>
      </c>
      <c r="H4" s="9" t="str">
        <f t="shared" si="2"/>
        <v>B</v>
      </c>
      <c r="I4" s="10" t="str">
        <f t="shared" si="3"/>
        <v>No</v>
      </c>
      <c r="J4" s="2"/>
      <c r="K4" s="2"/>
      <c r="L4" s="2"/>
      <c r="M4" s="2"/>
      <c r="N4" s="2"/>
      <c r="O4" s="2"/>
      <c r="P4" s="2"/>
      <c r="Q4" s="2"/>
      <c r="R4" s="2"/>
      <c r="S4" s="2"/>
      <c r="T4" s="2"/>
      <c r="U4" s="2"/>
      <c r="V4" s="2"/>
      <c r="W4" s="2"/>
      <c r="X4" s="2"/>
      <c r="Y4" s="2"/>
    </row>
    <row r="5">
      <c r="A5" s="7">
        <v>1004.0</v>
      </c>
      <c r="B5" s="7" t="s">
        <v>52</v>
      </c>
      <c r="C5" s="7">
        <v>74.0</v>
      </c>
      <c r="D5" s="7">
        <v>55.0</v>
      </c>
      <c r="E5" s="7">
        <v>46.0</v>
      </c>
      <c r="F5" s="8">
        <v>43641.0</v>
      </c>
      <c r="G5" s="9">
        <f t="shared" si="1"/>
        <v>58</v>
      </c>
      <c r="H5" s="9" t="str">
        <f t="shared" si="2"/>
        <v>C</v>
      </c>
      <c r="I5" s="10" t="str">
        <f t="shared" si="3"/>
        <v>No</v>
      </c>
      <c r="J5" s="2"/>
      <c r="K5" s="2"/>
      <c r="L5" s="2"/>
      <c r="M5" s="2"/>
      <c r="N5" s="2"/>
      <c r="O5" s="2"/>
      <c r="P5" s="2"/>
      <c r="Q5" s="2"/>
      <c r="R5" s="2"/>
      <c r="S5" s="2"/>
      <c r="T5" s="2"/>
      <c r="U5" s="2"/>
      <c r="V5" s="2"/>
      <c r="W5" s="2"/>
      <c r="X5" s="2"/>
      <c r="Y5" s="2"/>
    </row>
    <row r="6">
      <c r="A6" s="7">
        <v>1005.0</v>
      </c>
      <c r="B6" s="7" t="s">
        <v>53</v>
      </c>
      <c r="C6" s="7">
        <v>68.0</v>
      </c>
      <c r="D6" s="7">
        <v>74.0</v>
      </c>
      <c r="E6" s="7">
        <v>84.0</v>
      </c>
      <c r="F6" s="8">
        <v>43821.0</v>
      </c>
      <c r="G6" s="9">
        <f t="shared" si="1"/>
        <v>75</v>
      </c>
      <c r="H6" s="9" t="str">
        <f t="shared" si="2"/>
        <v>B</v>
      </c>
      <c r="I6" s="10" t="str">
        <f t="shared" si="3"/>
        <v>Yes</v>
      </c>
      <c r="J6" s="2"/>
      <c r="K6" s="2"/>
      <c r="L6" s="2"/>
      <c r="M6" s="2"/>
      <c r="N6" s="2"/>
      <c r="O6" s="2"/>
      <c r="P6" s="2"/>
      <c r="Q6" s="2"/>
      <c r="R6" s="2"/>
      <c r="S6" s="2"/>
      <c r="T6" s="2"/>
      <c r="U6" s="2"/>
      <c r="V6" s="2"/>
      <c r="W6" s="2"/>
      <c r="X6" s="2"/>
      <c r="Y6" s="2"/>
    </row>
    <row r="7">
      <c r="A7" s="7">
        <v>1006.0</v>
      </c>
      <c r="B7" s="7" t="s">
        <v>54</v>
      </c>
      <c r="C7" s="7">
        <v>80.0</v>
      </c>
      <c r="D7" s="7">
        <v>70.0</v>
      </c>
      <c r="E7" s="7">
        <v>65.0</v>
      </c>
      <c r="F7" s="8">
        <v>44001.0</v>
      </c>
      <c r="G7" s="9">
        <f t="shared" si="1"/>
        <v>72</v>
      </c>
      <c r="H7" s="9" t="str">
        <f t="shared" si="2"/>
        <v>B</v>
      </c>
      <c r="I7" s="10" t="str">
        <f t="shared" si="3"/>
        <v>Yes</v>
      </c>
      <c r="J7" s="2"/>
      <c r="K7" s="2"/>
      <c r="L7" s="2"/>
      <c r="M7" s="2"/>
      <c r="N7" s="2"/>
      <c r="O7" s="2"/>
      <c r="P7" s="2"/>
      <c r="Q7" s="2"/>
      <c r="R7" s="2"/>
      <c r="S7" s="2"/>
      <c r="T7" s="2"/>
      <c r="U7" s="2"/>
      <c r="V7" s="2"/>
      <c r="W7" s="2"/>
      <c r="X7" s="2"/>
      <c r="Y7" s="2"/>
    </row>
    <row r="8">
      <c r="A8" s="7">
        <v>1007.0</v>
      </c>
      <c r="B8" s="7" t="s">
        <v>55</v>
      </c>
      <c r="C8" s="7">
        <v>75.0</v>
      </c>
      <c r="D8" s="7">
        <v>47.0</v>
      </c>
      <c r="E8" s="7">
        <v>78.0</v>
      </c>
      <c r="F8" s="8">
        <v>44181.0</v>
      </c>
      <c r="G8" s="9">
        <f t="shared" si="1"/>
        <v>67</v>
      </c>
      <c r="H8" s="9" t="str">
        <f t="shared" si="2"/>
        <v>B</v>
      </c>
      <c r="I8" s="10" t="str">
        <f t="shared" si="3"/>
        <v>No</v>
      </c>
      <c r="J8" s="2"/>
      <c r="K8" s="2"/>
      <c r="L8" s="2"/>
      <c r="M8" s="2"/>
      <c r="N8" s="2"/>
      <c r="O8" s="2"/>
      <c r="P8" s="2"/>
      <c r="Q8" s="2"/>
      <c r="R8" s="2"/>
      <c r="S8" s="2"/>
      <c r="T8" s="2"/>
      <c r="U8" s="2"/>
      <c r="V8" s="2"/>
      <c r="W8" s="2"/>
      <c r="X8" s="2"/>
      <c r="Y8" s="2"/>
    </row>
    <row r="9">
      <c r="A9" s="7">
        <v>1008.0</v>
      </c>
      <c r="B9" s="7" t="s">
        <v>56</v>
      </c>
      <c r="C9" s="7">
        <v>94.0</v>
      </c>
      <c r="D9" s="7">
        <v>67.0</v>
      </c>
      <c r="E9" s="7">
        <v>64.0</v>
      </c>
      <c r="F9" s="8">
        <v>44361.0</v>
      </c>
      <c r="G9" s="9">
        <f t="shared" si="1"/>
        <v>75</v>
      </c>
      <c r="H9" s="9" t="str">
        <f t="shared" si="2"/>
        <v>B</v>
      </c>
      <c r="I9" s="10" t="str">
        <f t="shared" si="3"/>
        <v>Yes</v>
      </c>
      <c r="J9" s="2"/>
      <c r="K9" s="2"/>
      <c r="L9" s="10"/>
      <c r="M9" s="2"/>
      <c r="N9" s="2"/>
      <c r="O9" s="2"/>
      <c r="P9" s="2"/>
      <c r="Q9" s="2"/>
      <c r="R9" s="2"/>
      <c r="S9" s="2"/>
      <c r="T9" s="2"/>
      <c r="U9" s="2"/>
      <c r="V9" s="2"/>
      <c r="W9" s="2"/>
      <c r="X9" s="2"/>
      <c r="Y9" s="2"/>
    </row>
    <row r="10">
      <c r="A10" s="7">
        <v>1009.0</v>
      </c>
      <c r="B10" s="7" t="s">
        <v>57</v>
      </c>
      <c r="C10" s="7">
        <v>41.0</v>
      </c>
      <c r="D10" s="7">
        <v>75.0</v>
      </c>
      <c r="E10" s="7">
        <v>56.0</v>
      </c>
      <c r="F10" s="8">
        <v>44541.0</v>
      </c>
      <c r="G10" s="9">
        <f t="shared" si="1"/>
        <v>57</v>
      </c>
      <c r="H10" s="9" t="str">
        <f t="shared" si="2"/>
        <v>C</v>
      </c>
      <c r="I10" s="10" t="str">
        <f t="shared" si="3"/>
        <v>No</v>
      </c>
      <c r="J10" s="2"/>
      <c r="K10" s="2"/>
      <c r="L10" s="2"/>
      <c r="M10" s="2"/>
      <c r="N10" s="2"/>
      <c r="O10" s="2"/>
      <c r="P10" s="2"/>
      <c r="Q10" s="2"/>
      <c r="R10" s="2"/>
      <c r="S10" s="2"/>
      <c r="T10" s="2"/>
      <c r="U10" s="2"/>
      <c r="V10" s="2"/>
      <c r="W10" s="2"/>
      <c r="X10" s="2"/>
      <c r="Y10" s="2"/>
    </row>
    <row r="11">
      <c r="A11" s="7">
        <v>1010.0</v>
      </c>
      <c r="B11" s="7" t="s">
        <v>58</v>
      </c>
      <c r="C11" s="7">
        <v>98.0</v>
      </c>
      <c r="D11" s="7">
        <v>54.0</v>
      </c>
      <c r="E11" s="7">
        <v>58.0</v>
      </c>
      <c r="F11" s="8">
        <v>44721.0</v>
      </c>
      <c r="G11" s="9">
        <f t="shared" si="1"/>
        <v>70</v>
      </c>
      <c r="H11" s="9" t="str">
        <f t="shared" si="2"/>
        <v>B</v>
      </c>
      <c r="I11" s="10" t="str">
        <f t="shared" si="3"/>
        <v>No</v>
      </c>
      <c r="J11" s="2"/>
      <c r="K11" s="2"/>
      <c r="L11" s="2"/>
      <c r="M11" s="2"/>
      <c r="N11" s="2"/>
      <c r="O11" s="2"/>
      <c r="P11" s="2"/>
      <c r="Q11" s="2"/>
      <c r="R11" s="2"/>
      <c r="S11" s="2"/>
      <c r="T11" s="2"/>
      <c r="U11" s="2"/>
      <c r="V11" s="2"/>
      <c r="W11" s="2"/>
      <c r="X11" s="2"/>
      <c r="Y11" s="2"/>
    </row>
    <row r="12">
      <c r="A12" s="7">
        <v>1011.0</v>
      </c>
      <c r="B12" s="7" t="s">
        <v>59</v>
      </c>
      <c r="C12" s="7">
        <v>73.0</v>
      </c>
      <c r="D12" s="7">
        <v>79.0</v>
      </c>
      <c r="E12" s="7">
        <v>53.0</v>
      </c>
      <c r="F12" s="8">
        <v>44901.0</v>
      </c>
      <c r="G12" s="9">
        <f t="shared" si="1"/>
        <v>68</v>
      </c>
      <c r="H12" s="9" t="str">
        <f t="shared" si="2"/>
        <v>B</v>
      </c>
      <c r="I12" s="10" t="str">
        <f t="shared" si="3"/>
        <v>No</v>
      </c>
      <c r="J12" s="2"/>
      <c r="K12" s="2"/>
      <c r="L12" s="2"/>
      <c r="M12" s="2"/>
      <c r="N12" s="2"/>
      <c r="O12" s="2"/>
      <c r="P12" s="2"/>
      <c r="Q12" s="2"/>
      <c r="R12" s="2"/>
      <c r="S12" s="2"/>
      <c r="T12" s="2"/>
      <c r="U12" s="2"/>
      <c r="V12" s="2"/>
      <c r="W12" s="2"/>
      <c r="X12" s="2"/>
      <c r="Y12" s="2"/>
    </row>
    <row r="13">
      <c r="A13" s="7">
        <v>1012.0</v>
      </c>
      <c r="B13" s="7" t="s">
        <v>60</v>
      </c>
      <c r="C13" s="7">
        <v>85.0</v>
      </c>
      <c r="D13" s="7">
        <v>89.0</v>
      </c>
      <c r="E13" s="7">
        <v>79.0</v>
      </c>
      <c r="F13" s="8">
        <v>45081.0</v>
      </c>
      <c r="G13" s="9">
        <f t="shared" si="1"/>
        <v>84</v>
      </c>
      <c r="H13" s="9" t="str">
        <f t="shared" si="2"/>
        <v>A</v>
      </c>
      <c r="I13" s="10" t="str">
        <f t="shared" si="3"/>
        <v>Yes</v>
      </c>
      <c r="J13" s="2"/>
      <c r="K13" s="2"/>
      <c r="L13" s="2"/>
      <c r="M13" s="2"/>
      <c r="N13" s="2"/>
      <c r="O13" s="2"/>
      <c r="P13" s="2"/>
      <c r="Q13" s="2"/>
      <c r="R13" s="2"/>
      <c r="S13" s="2"/>
      <c r="T13" s="2"/>
      <c r="U13" s="2"/>
      <c r="V13" s="2"/>
      <c r="W13" s="2"/>
      <c r="X13" s="2"/>
      <c r="Y13" s="2"/>
    </row>
    <row r="14">
      <c r="A14" s="7">
        <v>1013.0</v>
      </c>
      <c r="B14" s="7" t="s">
        <v>61</v>
      </c>
      <c r="C14" s="7">
        <v>98.0</v>
      </c>
      <c r="D14" s="7">
        <v>90.0</v>
      </c>
      <c r="E14" s="7">
        <v>97.0</v>
      </c>
      <c r="F14" s="8">
        <v>45261.0</v>
      </c>
      <c r="G14" s="9">
        <f t="shared" si="1"/>
        <v>95</v>
      </c>
      <c r="H14" s="9" t="str">
        <f t="shared" si="2"/>
        <v>A</v>
      </c>
      <c r="I14" s="10" t="str">
        <f t="shared" si="3"/>
        <v>Yes</v>
      </c>
      <c r="J14" s="2"/>
      <c r="K14" s="2"/>
      <c r="L14" s="2"/>
      <c r="M14" s="2"/>
      <c r="N14" s="2"/>
      <c r="O14" s="2"/>
      <c r="P14" s="2"/>
      <c r="Q14" s="2"/>
      <c r="R14" s="2"/>
      <c r="S14" s="2"/>
      <c r="T14" s="2"/>
      <c r="U14" s="2"/>
      <c r="V14" s="2"/>
      <c r="W14" s="2"/>
      <c r="X14" s="2"/>
      <c r="Y14" s="2"/>
    </row>
    <row r="15">
      <c r="A15" s="7">
        <v>1014.0</v>
      </c>
      <c r="B15" s="7" t="s">
        <v>62</v>
      </c>
      <c r="C15" s="7">
        <v>93.0</v>
      </c>
      <c r="D15" s="7">
        <v>40.0</v>
      </c>
      <c r="E15" s="7">
        <v>44.0</v>
      </c>
      <c r="F15" s="8">
        <v>45441.0</v>
      </c>
      <c r="G15" s="9">
        <f t="shared" si="1"/>
        <v>59</v>
      </c>
      <c r="H15" s="9" t="str">
        <f t="shared" si="2"/>
        <v>C</v>
      </c>
      <c r="I15" s="10" t="str">
        <f t="shared" si="3"/>
        <v>No</v>
      </c>
      <c r="J15" s="2"/>
      <c r="K15" s="2"/>
      <c r="L15" s="2"/>
      <c r="M15" s="2"/>
      <c r="N15" s="2"/>
      <c r="O15" s="2"/>
      <c r="P15" s="2"/>
      <c r="Q15" s="2"/>
      <c r="R15" s="2"/>
      <c r="S15" s="2"/>
      <c r="T15" s="2"/>
      <c r="U15" s="2"/>
      <c r="V15" s="2"/>
      <c r="W15" s="2"/>
      <c r="X15" s="2"/>
      <c r="Y15" s="2"/>
    </row>
    <row r="16">
      <c r="A16" s="7">
        <v>1015.0</v>
      </c>
      <c r="B16" s="7" t="s">
        <v>63</v>
      </c>
      <c r="C16" s="7">
        <v>70.0</v>
      </c>
      <c r="D16" s="7">
        <v>51.0</v>
      </c>
      <c r="E16" s="7">
        <v>75.0</v>
      </c>
      <c r="F16" s="8">
        <v>45621.0</v>
      </c>
      <c r="G16" s="9">
        <f t="shared" si="1"/>
        <v>65</v>
      </c>
      <c r="H16" s="9" t="str">
        <f t="shared" si="2"/>
        <v>B</v>
      </c>
      <c r="I16" s="10" t="str">
        <f t="shared" si="3"/>
        <v>No</v>
      </c>
      <c r="J16" s="2"/>
      <c r="K16" s="2"/>
      <c r="L16" s="2"/>
      <c r="M16" s="2"/>
      <c r="N16" s="2"/>
      <c r="O16" s="2"/>
      <c r="P16" s="2"/>
      <c r="Q16" s="2"/>
      <c r="R16" s="2"/>
      <c r="S16" s="2"/>
      <c r="T16" s="2"/>
      <c r="U16" s="2"/>
      <c r="V16" s="2"/>
      <c r="W16" s="2"/>
      <c r="X16" s="2"/>
      <c r="Y16" s="2"/>
    </row>
    <row r="17">
      <c r="A17" s="7">
        <v>1016.0</v>
      </c>
      <c r="B17" s="7" t="s">
        <v>64</v>
      </c>
      <c r="C17" s="7">
        <v>98.0</v>
      </c>
      <c r="D17" s="7">
        <v>77.0</v>
      </c>
      <c r="E17" s="7">
        <v>60.0</v>
      </c>
      <c r="F17" s="8">
        <v>45801.0</v>
      </c>
      <c r="G17" s="9">
        <f t="shared" si="1"/>
        <v>78</v>
      </c>
      <c r="H17" s="9" t="str">
        <f t="shared" si="2"/>
        <v>B</v>
      </c>
      <c r="I17" s="10" t="str">
        <f t="shared" si="3"/>
        <v>No</v>
      </c>
      <c r="J17" s="2"/>
      <c r="K17" s="2"/>
      <c r="L17" s="2"/>
      <c r="M17" s="2"/>
      <c r="N17" s="2"/>
      <c r="O17" s="2"/>
      <c r="P17" s="2"/>
      <c r="Q17" s="2"/>
      <c r="R17" s="2"/>
      <c r="S17" s="2"/>
      <c r="T17" s="2"/>
      <c r="U17" s="2"/>
      <c r="V17" s="2"/>
      <c r="W17" s="2"/>
      <c r="X17" s="2"/>
      <c r="Y17" s="2"/>
    </row>
    <row r="18">
      <c r="A18" s="7">
        <v>1017.0</v>
      </c>
      <c r="B18" s="7" t="s">
        <v>65</v>
      </c>
      <c r="C18" s="7">
        <v>66.0</v>
      </c>
      <c r="D18" s="7">
        <v>59.0</v>
      </c>
      <c r="E18" s="7">
        <v>40.0</v>
      </c>
      <c r="F18" s="8">
        <v>45981.0</v>
      </c>
      <c r="G18" s="9">
        <f t="shared" si="1"/>
        <v>55</v>
      </c>
      <c r="H18" s="9" t="str">
        <f t="shared" si="2"/>
        <v>C</v>
      </c>
      <c r="I18" s="10" t="str">
        <f t="shared" si="3"/>
        <v>No</v>
      </c>
      <c r="J18" s="2"/>
      <c r="K18" s="2"/>
      <c r="L18" s="2"/>
      <c r="M18" s="2"/>
      <c r="N18" s="2"/>
      <c r="O18" s="2"/>
      <c r="P18" s="2"/>
      <c r="Q18" s="2"/>
      <c r="R18" s="2"/>
      <c r="S18" s="2"/>
      <c r="T18" s="2"/>
      <c r="U18" s="2"/>
      <c r="V18" s="2"/>
      <c r="W18" s="2"/>
      <c r="X18" s="2"/>
      <c r="Y18" s="2"/>
    </row>
    <row r="19">
      <c r="A19" s="7">
        <v>1018.0</v>
      </c>
      <c r="B19" s="7" t="s">
        <v>66</v>
      </c>
      <c r="C19" s="7">
        <v>82.0</v>
      </c>
      <c r="D19" s="7">
        <v>48.0</v>
      </c>
      <c r="E19" s="7">
        <v>79.0</v>
      </c>
      <c r="F19" s="8">
        <v>46161.0</v>
      </c>
      <c r="G19" s="9">
        <f t="shared" si="1"/>
        <v>70</v>
      </c>
      <c r="H19" s="9" t="str">
        <f t="shared" si="2"/>
        <v>B</v>
      </c>
      <c r="I19" s="10" t="str">
        <f t="shared" si="3"/>
        <v>No</v>
      </c>
      <c r="J19" s="2"/>
      <c r="K19" s="2"/>
      <c r="L19" s="2"/>
      <c r="M19" s="2"/>
      <c r="N19" s="2"/>
      <c r="O19" s="2"/>
      <c r="P19" s="2"/>
      <c r="Q19" s="2"/>
      <c r="R19" s="2"/>
      <c r="S19" s="2"/>
      <c r="T19" s="2"/>
      <c r="U19" s="2"/>
      <c r="V19" s="2"/>
      <c r="W19" s="2"/>
      <c r="X19" s="2"/>
      <c r="Y19" s="2"/>
    </row>
    <row r="20">
      <c r="A20" s="7">
        <v>1019.0</v>
      </c>
      <c r="B20" s="7" t="s">
        <v>67</v>
      </c>
      <c r="C20" s="7">
        <v>90.0</v>
      </c>
      <c r="D20" s="7">
        <v>78.0</v>
      </c>
      <c r="E20" s="7">
        <v>60.0</v>
      </c>
      <c r="F20" s="8">
        <v>46341.0</v>
      </c>
      <c r="G20" s="9">
        <f t="shared" si="1"/>
        <v>76</v>
      </c>
      <c r="H20" s="9" t="str">
        <f t="shared" si="2"/>
        <v>B</v>
      </c>
      <c r="I20" s="10" t="str">
        <f t="shared" si="3"/>
        <v>No</v>
      </c>
      <c r="J20" s="2"/>
      <c r="K20" s="2"/>
      <c r="L20" s="2"/>
      <c r="M20" s="2"/>
      <c r="N20" s="2"/>
      <c r="O20" s="2"/>
      <c r="P20" s="2"/>
      <c r="Q20" s="2"/>
      <c r="R20" s="2"/>
      <c r="S20" s="2"/>
      <c r="T20" s="2"/>
      <c r="U20" s="2"/>
      <c r="V20" s="2"/>
      <c r="W20" s="2"/>
      <c r="X20" s="2"/>
      <c r="Y20" s="2"/>
    </row>
    <row r="21">
      <c r="A21" s="7">
        <v>1020.0</v>
      </c>
      <c r="B21" s="7" t="s">
        <v>68</v>
      </c>
      <c r="C21" s="7">
        <v>83.0</v>
      </c>
      <c r="D21" s="7">
        <v>92.0</v>
      </c>
      <c r="E21" s="7">
        <v>55.0</v>
      </c>
      <c r="F21" s="8">
        <v>46521.0</v>
      </c>
      <c r="G21" s="9">
        <f t="shared" si="1"/>
        <v>77</v>
      </c>
      <c r="H21" s="9" t="str">
        <f t="shared" si="2"/>
        <v>B</v>
      </c>
      <c r="I21" s="10" t="str">
        <f t="shared" si="3"/>
        <v>No</v>
      </c>
      <c r="J21" s="2"/>
      <c r="K21" s="2"/>
      <c r="L21" s="2"/>
      <c r="M21" s="2"/>
      <c r="N21" s="2"/>
      <c r="O21" s="2"/>
      <c r="P21" s="2"/>
      <c r="Q21" s="2"/>
      <c r="R21" s="2"/>
      <c r="S21" s="2"/>
      <c r="T21" s="2"/>
      <c r="U21" s="2"/>
      <c r="V21" s="2"/>
      <c r="W21" s="2"/>
      <c r="X21" s="2"/>
      <c r="Y21" s="2"/>
    </row>
    <row r="22">
      <c r="A22" s="2"/>
      <c r="B22" s="2"/>
      <c r="C22" s="2"/>
      <c r="D22" s="2"/>
      <c r="E22" s="2"/>
      <c r="F22" s="2"/>
      <c r="G22" s="2"/>
      <c r="H22" s="2"/>
      <c r="I22" s="2"/>
      <c r="J22" s="2"/>
      <c r="K22" s="2"/>
      <c r="L22" s="2"/>
      <c r="M22" s="2"/>
      <c r="N22" s="2"/>
      <c r="O22" s="2"/>
      <c r="P22" s="2"/>
      <c r="Q22" s="2"/>
      <c r="R22" s="2"/>
      <c r="S22" s="2"/>
      <c r="T22" s="2"/>
      <c r="U22" s="2"/>
      <c r="V22" s="2"/>
      <c r="W22" s="2"/>
      <c r="X22" s="2"/>
      <c r="Y22" s="2"/>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f>IFERROR(__xludf.DUMMYFUNCTION("FILTER(A2:F21, E2:E21&lt;50)"),1004.0)</f>
        <v>1004</v>
      </c>
      <c r="B24" s="2" t="str">
        <f>IFERROR(__xludf.DUMMYFUNCTION("""COMPUTED_VALUE"""),"Student 4")</f>
        <v>Student 4</v>
      </c>
      <c r="C24" s="2">
        <f>IFERROR(__xludf.DUMMYFUNCTION("""COMPUTED_VALUE"""),74.0)</f>
        <v>74</v>
      </c>
      <c r="D24" s="2">
        <f>IFERROR(__xludf.DUMMYFUNCTION("""COMPUTED_VALUE"""),55.0)</f>
        <v>55</v>
      </c>
      <c r="E24" s="2">
        <f>IFERROR(__xludf.DUMMYFUNCTION("""COMPUTED_VALUE"""),46.0)</f>
        <v>46</v>
      </c>
      <c r="F24" s="11">
        <f>IFERROR(__xludf.DUMMYFUNCTION("""COMPUTED_VALUE"""),43641.0)</f>
        <v>43641</v>
      </c>
      <c r="G24" s="2"/>
      <c r="H24" s="2"/>
      <c r="I24" s="2"/>
      <c r="J24" s="2"/>
      <c r="K24" s="2"/>
      <c r="L24" s="2"/>
      <c r="M24" s="2"/>
      <c r="N24" s="2"/>
      <c r="O24" s="2"/>
      <c r="P24" s="2"/>
      <c r="Q24" s="2"/>
      <c r="R24" s="2"/>
      <c r="S24" s="2"/>
      <c r="T24" s="2"/>
      <c r="U24" s="2"/>
      <c r="V24" s="2"/>
      <c r="W24" s="2"/>
      <c r="X24" s="2"/>
      <c r="Y24" s="2"/>
    </row>
    <row r="25">
      <c r="A25" s="2">
        <f>IFERROR(__xludf.DUMMYFUNCTION("""COMPUTED_VALUE"""),1014.0)</f>
        <v>1014</v>
      </c>
      <c r="B25" s="2" t="str">
        <f>IFERROR(__xludf.DUMMYFUNCTION("""COMPUTED_VALUE"""),"Student 14")</f>
        <v>Student 14</v>
      </c>
      <c r="C25" s="2">
        <f>IFERROR(__xludf.DUMMYFUNCTION("""COMPUTED_VALUE"""),93.0)</f>
        <v>93</v>
      </c>
      <c r="D25" s="2">
        <f>IFERROR(__xludf.DUMMYFUNCTION("""COMPUTED_VALUE"""),40.0)</f>
        <v>40</v>
      </c>
      <c r="E25" s="2">
        <f>IFERROR(__xludf.DUMMYFUNCTION("""COMPUTED_VALUE"""),44.0)</f>
        <v>44</v>
      </c>
      <c r="F25" s="11">
        <f>IFERROR(__xludf.DUMMYFUNCTION("""COMPUTED_VALUE"""),45441.0)</f>
        <v>45441</v>
      </c>
      <c r="G25" s="2"/>
      <c r="H25" s="2"/>
      <c r="I25" s="2"/>
      <c r="J25" s="2"/>
      <c r="K25" s="2"/>
      <c r="L25" s="2"/>
      <c r="M25" s="2"/>
      <c r="N25" s="2"/>
      <c r="O25" s="2"/>
      <c r="P25" s="2"/>
      <c r="Q25" s="2"/>
      <c r="R25" s="2"/>
      <c r="S25" s="2"/>
      <c r="T25" s="2"/>
      <c r="U25" s="2"/>
      <c r="V25" s="2"/>
      <c r="W25" s="2"/>
      <c r="X25" s="2"/>
      <c r="Y25" s="2"/>
    </row>
    <row r="26">
      <c r="A26" s="2">
        <f>IFERROR(__xludf.DUMMYFUNCTION("""COMPUTED_VALUE"""),1017.0)</f>
        <v>1017</v>
      </c>
      <c r="B26" s="2" t="str">
        <f>IFERROR(__xludf.DUMMYFUNCTION("""COMPUTED_VALUE"""),"Student 17")</f>
        <v>Student 17</v>
      </c>
      <c r="C26" s="2">
        <f>IFERROR(__xludf.DUMMYFUNCTION("""COMPUTED_VALUE"""),66.0)</f>
        <v>66</v>
      </c>
      <c r="D26" s="2">
        <f>IFERROR(__xludf.DUMMYFUNCTION("""COMPUTED_VALUE"""),59.0)</f>
        <v>59</v>
      </c>
      <c r="E26" s="2">
        <f>IFERROR(__xludf.DUMMYFUNCTION("""COMPUTED_VALUE"""),40.0)</f>
        <v>40</v>
      </c>
      <c r="F26" s="11">
        <f>IFERROR(__xludf.DUMMYFUNCTION("""COMPUTED_VALUE"""),45981.0)</f>
        <v>45981</v>
      </c>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8" width="18.38"/>
    <col customWidth="1" min="16" max="16" width="24.0"/>
  </cols>
  <sheetData>
    <row r="1">
      <c r="A1" s="1" t="s">
        <v>69</v>
      </c>
      <c r="B1" s="1" t="s">
        <v>70</v>
      </c>
      <c r="C1" s="1" t="s">
        <v>71</v>
      </c>
      <c r="D1" s="1" t="s">
        <v>72</v>
      </c>
      <c r="E1" s="1" t="s">
        <v>73</v>
      </c>
      <c r="F1" s="1" t="s">
        <v>74</v>
      </c>
      <c r="G1" s="2"/>
      <c r="H1" s="2"/>
      <c r="I1" s="2"/>
      <c r="J1" s="2"/>
      <c r="K1" s="12" t="s">
        <v>69</v>
      </c>
      <c r="L1" s="12" t="s">
        <v>70</v>
      </c>
      <c r="M1" s="12" t="s">
        <v>71</v>
      </c>
      <c r="N1" s="12" t="s">
        <v>72</v>
      </c>
      <c r="O1" s="12" t="s">
        <v>73</v>
      </c>
      <c r="P1" s="12" t="s">
        <v>74</v>
      </c>
      <c r="Q1" s="2"/>
      <c r="R1" s="2"/>
      <c r="S1" s="2"/>
      <c r="T1" s="2"/>
      <c r="U1" s="2"/>
      <c r="V1" s="2"/>
      <c r="W1" s="2"/>
      <c r="X1" s="2"/>
      <c r="Y1" s="2"/>
    </row>
    <row r="2">
      <c r="A2" s="7">
        <v>2001.0</v>
      </c>
      <c r="B2" s="7" t="s">
        <v>75</v>
      </c>
      <c r="C2" s="7" t="s">
        <v>76</v>
      </c>
      <c r="D2" s="7" t="s">
        <v>77</v>
      </c>
      <c r="E2" s="7">
        <v>7048.0</v>
      </c>
      <c r="F2" s="13">
        <v>44927.0</v>
      </c>
      <c r="G2" s="14"/>
      <c r="H2" s="12" t="s">
        <v>69</v>
      </c>
      <c r="I2" s="12" t="s">
        <v>73</v>
      </c>
      <c r="J2" s="15"/>
      <c r="K2" s="16">
        <v>2009.0</v>
      </c>
      <c r="L2" s="17" t="str">
        <f t="shared" ref="L2:L9" si="1">INDEX($B$2:$B$20,MATCH($K2,$A$2:$A$20,0))</f>
        <v>Printer</v>
      </c>
      <c r="M2" s="15" t="str">
        <f t="shared" ref="M2:M9" si="2">INDEX($C$2:$C$20,MATCH($K2,$A$2:$A$20,0))</f>
        <v>East</v>
      </c>
      <c r="N2" s="15" t="str">
        <f t="shared" ref="N2:N9" si="3">INDEX($D$2:$D$20,MATCH($K2,$A$2:$A$20,0))</f>
        <v>Person 9</v>
      </c>
      <c r="O2" s="15">
        <f t="shared" ref="O2:O9" si="4">INDEX($E$2:$E$20,MATCH($K2,$A$2:$A$20,0))</f>
        <v>19746</v>
      </c>
      <c r="P2" s="18">
        <f t="shared" ref="P2:P9" si="5">INDEX($F$2:$F$20,MATCH($K2,$A$2:$A$20,0))</f>
        <v>45047</v>
      </c>
      <c r="Q2" s="2"/>
      <c r="R2" s="2"/>
      <c r="S2" s="2"/>
      <c r="T2" s="2"/>
      <c r="U2" s="2"/>
      <c r="V2" s="2"/>
      <c r="W2" s="2"/>
      <c r="X2" s="2"/>
      <c r="Y2" s="2"/>
    </row>
    <row r="3">
      <c r="A3" s="7">
        <v>2003.0</v>
      </c>
      <c r="B3" s="7" t="s">
        <v>78</v>
      </c>
      <c r="C3" s="7" t="s">
        <v>76</v>
      </c>
      <c r="D3" s="7" t="s">
        <v>79</v>
      </c>
      <c r="E3" s="7">
        <v>23672.0</v>
      </c>
      <c r="F3" s="13">
        <v>44957.0</v>
      </c>
      <c r="G3" s="19"/>
      <c r="H3" s="20">
        <v>2008.0</v>
      </c>
      <c r="I3" s="3">
        <f>VLOOKUP(H3,A1:F20,5,FALSE)</f>
        <v>46429</v>
      </c>
      <c r="J3" s="2"/>
      <c r="K3" s="21">
        <v>2015.0</v>
      </c>
      <c r="L3" s="17" t="str">
        <f t="shared" si="1"/>
        <v>Laptop</v>
      </c>
      <c r="M3" s="15" t="str">
        <f t="shared" si="2"/>
        <v>East</v>
      </c>
      <c r="N3" s="15" t="str">
        <f t="shared" si="3"/>
        <v>Person 15</v>
      </c>
      <c r="O3" s="15">
        <f t="shared" si="4"/>
        <v>15678</v>
      </c>
      <c r="P3" s="18">
        <f t="shared" si="5"/>
        <v>45137</v>
      </c>
      <c r="Q3" s="2"/>
      <c r="R3" s="2"/>
      <c r="S3" s="2"/>
      <c r="T3" s="2"/>
      <c r="U3" s="2"/>
      <c r="V3" s="2"/>
      <c r="W3" s="2"/>
      <c r="X3" s="2"/>
      <c r="Y3" s="2"/>
    </row>
    <row r="4">
      <c r="A4" s="7">
        <v>2004.0</v>
      </c>
      <c r="B4" s="7" t="s">
        <v>80</v>
      </c>
      <c r="C4" s="7" t="s">
        <v>81</v>
      </c>
      <c r="D4" s="7" t="s">
        <v>82</v>
      </c>
      <c r="E4" s="7">
        <v>5264.0</v>
      </c>
      <c r="F4" s="13">
        <v>44972.0</v>
      </c>
      <c r="G4" s="2"/>
      <c r="H4" s="2"/>
      <c r="I4" s="2"/>
      <c r="J4" s="2"/>
      <c r="K4" s="21">
        <v>2020.0</v>
      </c>
      <c r="L4" s="17" t="str">
        <f t="shared" si="1"/>
        <v>Printer</v>
      </c>
      <c r="M4" s="15" t="str">
        <f t="shared" si="2"/>
        <v>West</v>
      </c>
      <c r="N4" s="15" t="str">
        <f t="shared" si="3"/>
        <v>Person 20</v>
      </c>
      <c r="O4" s="15">
        <f t="shared" si="4"/>
        <v>33953</v>
      </c>
      <c r="P4" s="18">
        <f t="shared" si="5"/>
        <v>45212</v>
      </c>
      <c r="Q4" s="2"/>
      <c r="R4" s="2"/>
      <c r="S4" s="2"/>
      <c r="T4" s="2"/>
      <c r="U4" s="2"/>
      <c r="V4" s="2"/>
      <c r="W4" s="2"/>
      <c r="X4" s="2"/>
      <c r="Y4" s="2"/>
    </row>
    <row r="5">
      <c r="A5" s="7">
        <v>2005.0</v>
      </c>
      <c r="B5" s="7" t="s">
        <v>75</v>
      </c>
      <c r="C5" s="7" t="s">
        <v>83</v>
      </c>
      <c r="D5" s="7" t="s">
        <v>84</v>
      </c>
      <c r="E5" s="7">
        <v>43388.0</v>
      </c>
      <c r="F5" s="8">
        <v>44987.0</v>
      </c>
      <c r="G5" s="2"/>
      <c r="H5" s="2"/>
      <c r="I5" s="2"/>
      <c r="J5" s="2"/>
      <c r="K5" s="21">
        <v>2008.0</v>
      </c>
      <c r="L5" s="17" t="str">
        <f t="shared" si="1"/>
        <v>Keyboard</v>
      </c>
      <c r="M5" s="15" t="str">
        <f t="shared" si="2"/>
        <v>East</v>
      </c>
      <c r="N5" s="15" t="str">
        <f t="shared" si="3"/>
        <v>Person 8</v>
      </c>
      <c r="O5" s="15">
        <f t="shared" si="4"/>
        <v>46429</v>
      </c>
      <c r="P5" s="18">
        <f t="shared" si="5"/>
        <v>45032</v>
      </c>
      <c r="Q5" s="2"/>
      <c r="R5" s="2"/>
      <c r="S5" s="2"/>
      <c r="T5" s="2"/>
      <c r="U5" s="2"/>
      <c r="V5" s="2"/>
      <c r="W5" s="2"/>
      <c r="X5" s="2"/>
      <c r="Y5" s="2"/>
    </row>
    <row r="6">
      <c r="A6" s="7">
        <v>2006.0</v>
      </c>
      <c r="B6" s="7" t="s">
        <v>78</v>
      </c>
      <c r="C6" s="7" t="s">
        <v>83</v>
      </c>
      <c r="D6" s="7" t="s">
        <v>85</v>
      </c>
      <c r="E6" s="7">
        <v>19757.0</v>
      </c>
      <c r="F6" s="8">
        <v>45002.0</v>
      </c>
      <c r="G6" s="2"/>
      <c r="H6" s="2"/>
      <c r="I6" s="2"/>
      <c r="J6" s="2"/>
      <c r="K6" s="21">
        <v>2014.0</v>
      </c>
      <c r="L6" s="17" t="str">
        <f t="shared" si="1"/>
        <v>Laptop</v>
      </c>
      <c r="M6" s="15" t="str">
        <f t="shared" si="2"/>
        <v>South</v>
      </c>
      <c r="N6" s="15" t="str">
        <f t="shared" si="3"/>
        <v>Person 14</v>
      </c>
      <c r="O6" s="15">
        <f t="shared" si="4"/>
        <v>7283</v>
      </c>
      <c r="P6" s="18">
        <f t="shared" si="5"/>
        <v>45122</v>
      </c>
      <c r="Q6" s="2"/>
      <c r="R6" s="2"/>
      <c r="S6" s="2"/>
      <c r="T6" s="2"/>
      <c r="U6" s="2"/>
      <c r="V6" s="2"/>
      <c r="W6" s="2"/>
      <c r="X6" s="2"/>
      <c r="Y6" s="2"/>
    </row>
    <row r="7">
      <c r="A7" s="7">
        <v>2007.0</v>
      </c>
      <c r="B7" s="7" t="s">
        <v>78</v>
      </c>
      <c r="C7" s="7" t="s">
        <v>81</v>
      </c>
      <c r="D7" s="7" t="s">
        <v>86</v>
      </c>
      <c r="E7" s="7">
        <v>32058.0</v>
      </c>
      <c r="F7" s="8">
        <v>45017.0</v>
      </c>
      <c r="G7" s="2"/>
      <c r="H7" s="2"/>
      <c r="I7" s="2"/>
      <c r="J7" s="2"/>
      <c r="K7" s="21">
        <v>2006.0</v>
      </c>
      <c r="L7" s="17" t="str">
        <f t="shared" si="1"/>
        <v>Mouse</v>
      </c>
      <c r="M7" s="15" t="str">
        <f t="shared" si="2"/>
        <v>North</v>
      </c>
      <c r="N7" s="15" t="str">
        <f t="shared" si="3"/>
        <v>Person 6</v>
      </c>
      <c r="O7" s="15">
        <f t="shared" si="4"/>
        <v>19757</v>
      </c>
      <c r="P7" s="18">
        <f t="shared" si="5"/>
        <v>45002</v>
      </c>
      <c r="Q7" s="2"/>
      <c r="R7" s="2"/>
      <c r="S7" s="2"/>
      <c r="T7" s="2"/>
      <c r="U7" s="2"/>
      <c r="V7" s="2"/>
      <c r="W7" s="2"/>
      <c r="X7" s="2"/>
      <c r="Y7" s="2"/>
    </row>
    <row r="8">
      <c r="A8" s="7">
        <v>2008.0</v>
      </c>
      <c r="B8" s="7" t="s">
        <v>75</v>
      </c>
      <c r="C8" s="7" t="s">
        <v>81</v>
      </c>
      <c r="D8" s="7" t="s">
        <v>87</v>
      </c>
      <c r="E8" s="7">
        <v>46429.0</v>
      </c>
      <c r="F8" s="8">
        <v>45032.0</v>
      </c>
      <c r="G8" s="2"/>
      <c r="H8" s="2"/>
      <c r="I8" s="2"/>
      <c r="J8" s="2"/>
      <c r="K8" s="21">
        <v>2007.0</v>
      </c>
      <c r="L8" s="17" t="str">
        <f t="shared" si="1"/>
        <v>Mouse</v>
      </c>
      <c r="M8" s="15" t="str">
        <f t="shared" si="2"/>
        <v>East</v>
      </c>
      <c r="N8" s="15" t="str">
        <f t="shared" si="3"/>
        <v>Person 7</v>
      </c>
      <c r="O8" s="15">
        <f t="shared" si="4"/>
        <v>32058</v>
      </c>
      <c r="P8" s="18">
        <f t="shared" si="5"/>
        <v>45017</v>
      </c>
      <c r="Q8" s="2"/>
      <c r="R8" s="2"/>
      <c r="S8" s="2"/>
      <c r="T8" s="2"/>
      <c r="U8" s="2"/>
      <c r="V8" s="2"/>
      <c r="W8" s="2"/>
      <c r="X8" s="2"/>
      <c r="Y8" s="2"/>
    </row>
    <row r="9">
      <c r="A9" s="7">
        <v>2009.0</v>
      </c>
      <c r="B9" s="7" t="s">
        <v>80</v>
      </c>
      <c r="C9" s="7" t="s">
        <v>81</v>
      </c>
      <c r="D9" s="7" t="s">
        <v>88</v>
      </c>
      <c r="E9" s="7">
        <v>19746.0</v>
      </c>
      <c r="F9" s="8">
        <v>45047.0</v>
      </c>
      <c r="G9" s="2"/>
      <c r="H9" s="2"/>
      <c r="I9" s="2"/>
      <c r="J9" s="2"/>
      <c r="K9" s="21">
        <v>2001.0</v>
      </c>
      <c r="L9" s="17" t="str">
        <f t="shared" si="1"/>
        <v>Keyboard</v>
      </c>
      <c r="M9" s="15" t="str">
        <f t="shared" si="2"/>
        <v>South</v>
      </c>
      <c r="N9" s="15" t="str">
        <f t="shared" si="3"/>
        <v>Person 1</v>
      </c>
      <c r="O9" s="15">
        <f t="shared" si="4"/>
        <v>7048</v>
      </c>
      <c r="P9" s="18">
        <f t="shared" si="5"/>
        <v>44927</v>
      </c>
      <c r="Q9" s="2"/>
      <c r="R9" s="2"/>
      <c r="S9" s="2"/>
      <c r="T9" s="2"/>
      <c r="U9" s="2"/>
      <c r="V9" s="2"/>
      <c r="W9" s="2"/>
      <c r="X9" s="2"/>
      <c r="Y9" s="2"/>
    </row>
    <row r="10">
      <c r="A10" s="7">
        <v>2010.0</v>
      </c>
      <c r="B10" s="7" t="s">
        <v>75</v>
      </c>
      <c r="C10" s="7" t="s">
        <v>76</v>
      </c>
      <c r="D10" s="7" t="s">
        <v>89</v>
      </c>
      <c r="E10" s="7">
        <v>35185.0</v>
      </c>
      <c r="F10" s="8">
        <v>45062.0</v>
      </c>
      <c r="G10" s="2"/>
      <c r="H10" s="2"/>
      <c r="I10" s="2"/>
      <c r="J10" s="2"/>
      <c r="K10" s="2"/>
      <c r="L10" s="2"/>
      <c r="M10" s="2"/>
      <c r="N10" s="2"/>
      <c r="O10" s="2"/>
      <c r="P10" s="2"/>
      <c r="Q10" s="2"/>
      <c r="R10" s="2"/>
      <c r="S10" s="2"/>
      <c r="T10" s="2"/>
      <c r="U10" s="2"/>
      <c r="V10" s="2"/>
      <c r="W10" s="2"/>
      <c r="X10" s="2"/>
      <c r="Y10" s="2"/>
    </row>
    <row r="11">
      <c r="A11" s="7">
        <v>2011.0</v>
      </c>
      <c r="B11" s="7" t="s">
        <v>75</v>
      </c>
      <c r="C11" s="7" t="s">
        <v>81</v>
      </c>
      <c r="D11" s="7" t="s">
        <v>90</v>
      </c>
      <c r="E11" s="7">
        <v>33920.0</v>
      </c>
      <c r="F11" s="8">
        <v>45077.0</v>
      </c>
      <c r="G11" s="2"/>
      <c r="H11" s="2"/>
      <c r="I11" s="2"/>
      <c r="J11" s="2"/>
      <c r="K11" s="2"/>
      <c r="L11" s="2"/>
      <c r="M11" s="2"/>
      <c r="N11" s="2"/>
      <c r="O11" s="2"/>
      <c r="P11" s="2"/>
      <c r="Q11" s="2"/>
      <c r="R11" s="2"/>
      <c r="S11" s="2"/>
      <c r="T11" s="2"/>
      <c r="U11" s="2"/>
      <c r="V11" s="2"/>
      <c r="W11" s="2"/>
      <c r="X11" s="2"/>
      <c r="Y11" s="2"/>
    </row>
    <row r="12">
      <c r="A12" s="7">
        <v>2012.0</v>
      </c>
      <c r="B12" s="7" t="s">
        <v>91</v>
      </c>
      <c r="C12" s="7" t="s">
        <v>83</v>
      </c>
      <c r="D12" s="7" t="s">
        <v>92</v>
      </c>
      <c r="E12" s="7">
        <v>35611.0</v>
      </c>
      <c r="F12" s="8">
        <v>45092.0</v>
      </c>
      <c r="G12" s="2"/>
      <c r="H12" s="2"/>
      <c r="I12" s="2"/>
      <c r="J12" s="2"/>
      <c r="K12" s="2"/>
      <c r="L12" s="2"/>
      <c r="M12" s="2"/>
      <c r="N12" s="2"/>
      <c r="O12" s="2"/>
      <c r="P12" s="2"/>
      <c r="Q12" s="2"/>
      <c r="R12" s="2"/>
      <c r="S12" s="2"/>
      <c r="T12" s="2"/>
      <c r="U12" s="2"/>
      <c r="V12" s="2"/>
      <c r="W12" s="2"/>
      <c r="X12" s="2"/>
      <c r="Y12" s="2"/>
    </row>
    <row r="13">
      <c r="A13" s="7">
        <v>2013.0</v>
      </c>
      <c r="B13" s="7" t="s">
        <v>93</v>
      </c>
      <c r="C13" s="7" t="s">
        <v>81</v>
      </c>
      <c r="D13" s="7" t="s">
        <v>94</v>
      </c>
      <c r="E13" s="7">
        <v>15560.0</v>
      </c>
      <c r="F13" s="8">
        <v>45107.0</v>
      </c>
      <c r="G13" s="2"/>
      <c r="H13" s="2"/>
      <c r="I13" s="2"/>
      <c r="J13" s="2"/>
      <c r="K13" s="2"/>
      <c r="L13" s="2"/>
      <c r="M13" s="2"/>
      <c r="N13" s="2"/>
      <c r="O13" s="2"/>
      <c r="P13" s="2"/>
      <c r="Q13" s="2"/>
      <c r="R13" s="2"/>
      <c r="S13" s="2"/>
      <c r="T13" s="2"/>
      <c r="U13" s="2"/>
      <c r="V13" s="2"/>
      <c r="W13" s="2"/>
      <c r="X13" s="2"/>
      <c r="Y13" s="2"/>
    </row>
    <row r="14">
      <c r="A14" s="7">
        <v>2014.0</v>
      </c>
      <c r="B14" s="7" t="s">
        <v>93</v>
      </c>
      <c r="C14" s="7" t="s">
        <v>76</v>
      </c>
      <c r="D14" s="7" t="s">
        <v>95</v>
      </c>
      <c r="E14" s="7">
        <v>7283.0</v>
      </c>
      <c r="F14" s="8">
        <v>45122.0</v>
      </c>
      <c r="G14" s="2"/>
      <c r="H14" s="2"/>
      <c r="I14" s="2"/>
      <c r="J14" s="2"/>
      <c r="K14" s="2"/>
      <c r="L14" s="2"/>
      <c r="M14" s="2"/>
      <c r="N14" s="2"/>
      <c r="O14" s="2"/>
      <c r="P14" s="2"/>
      <c r="Q14" s="2"/>
      <c r="R14" s="2"/>
      <c r="S14" s="2"/>
      <c r="T14" s="2"/>
      <c r="U14" s="2"/>
      <c r="V14" s="2"/>
      <c r="W14" s="2"/>
      <c r="X14" s="2"/>
      <c r="Y14" s="2"/>
    </row>
    <row r="15">
      <c r="A15" s="7">
        <v>2015.0</v>
      </c>
      <c r="B15" s="7" t="s">
        <v>93</v>
      </c>
      <c r="C15" s="7" t="s">
        <v>81</v>
      </c>
      <c r="D15" s="7" t="s">
        <v>96</v>
      </c>
      <c r="E15" s="7">
        <v>15678.0</v>
      </c>
      <c r="F15" s="8">
        <v>45137.0</v>
      </c>
      <c r="G15" s="2"/>
      <c r="H15" s="2"/>
      <c r="I15" s="2"/>
      <c r="J15" s="2"/>
      <c r="K15" s="2"/>
      <c r="L15" s="2"/>
      <c r="M15" s="2"/>
      <c r="N15" s="2"/>
      <c r="O15" s="2"/>
      <c r="P15" s="2"/>
      <c r="Q15" s="2"/>
      <c r="R15" s="2"/>
      <c r="S15" s="2"/>
      <c r="T15" s="2"/>
      <c r="U15" s="2"/>
      <c r="V15" s="2"/>
      <c r="W15" s="2"/>
      <c r="X15" s="2"/>
      <c r="Y15" s="2"/>
    </row>
    <row r="16">
      <c r="A16" s="7">
        <v>2016.0</v>
      </c>
      <c r="B16" s="7" t="s">
        <v>78</v>
      </c>
      <c r="C16" s="7" t="s">
        <v>81</v>
      </c>
      <c r="D16" s="7" t="s">
        <v>97</v>
      </c>
      <c r="E16" s="7">
        <v>5277.0</v>
      </c>
      <c r="F16" s="8">
        <v>45152.0</v>
      </c>
      <c r="G16" s="2"/>
      <c r="H16" s="2"/>
      <c r="I16" s="2"/>
      <c r="J16" s="2"/>
      <c r="K16" s="2"/>
      <c r="L16" s="2"/>
      <c r="M16" s="2"/>
      <c r="N16" s="2"/>
      <c r="O16" s="2"/>
      <c r="P16" s="2"/>
      <c r="Q16" s="2"/>
      <c r="R16" s="2"/>
      <c r="S16" s="2"/>
      <c r="T16" s="2"/>
      <c r="U16" s="2"/>
      <c r="V16" s="2"/>
      <c r="W16" s="2"/>
      <c r="X16" s="2"/>
      <c r="Y16" s="2"/>
    </row>
    <row r="17">
      <c r="A17" s="7">
        <v>2017.0</v>
      </c>
      <c r="B17" s="7" t="s">
        <v>91</v>
      </c>
      <c r="C17" s="7" t="s">
        <v>83</v>
      </c>
      <c r="D17" s="7" t="s">
        <v>98</v>
      </c>
      <c r="E17" s="7">
        <v>41871.0</v>
      </c>
      <c r="F17" s="8">
        <v>45167.0</v>
      </c>
      <c r="G17" s="2"/>
      <c r="H17" s="2"/>
      <c r="I17" s="2"/>
      <c r="J17" s="2"/>
      <c r="K17" s="2"/>
      <c r="L17" s="2"/>
      <c r="M17" s="2"/>
      <c r="N17" s="2"/>
      <c r="O17" s="2"/>
      <c r="P17" s="2"/>
      <c r="Q17" s="2"/>
      <c r="R17" s="2"/>
      <c r="S17" s="2"/>
      <c r="T17" s="2"/>
      <c r="U17" s="2"/>
      <c r="V17" s="2"/>
      <c r="W17" s="2"/>
      <c r="X17" s="2"/>
      <c r="Y17" s="2"/>
    </row>
    <row r="18">
      <c r="A18" s="7">
        <v>2018.0</v>
      </c>
      <c r="B18" s="7" t="s">
        <v>91</v>
      </c>
      <c r="C18" s="7" t="s">
        <v>99</v>
      </c>
      <c r="D18" s="7" t="s">
        <v>100</v>
      </c>
      <c r="E18" s="7">
        <v>38161.0</v>
      </c>
      <c r="F18" s="8">
        <v>45182.0</v>
      </c>
      <c r="G18" s="2"/>
      <c r="H18" s="2"/>
      <c r="I18" s="2"/>
      <c r="J18" s="2"/>
      <c r="K18" s="2"/>
      <c r="L18" s="2"/>
      <c r="M18" s="2"/>
      <c r="N18" s="2"/>
      <c r="O18" s="2"/>
      <c r="P18" s="2"/>
      <c r="Q18" s="2"/>
      <c r="R18" s="2"/>
      <c r="S18" s="2"/>
      <c r="T18" s="2"/>
      <c r="U18" s="2"/>
      <c r="V18" s="2"/>
      <c r="W18" s="2"/>
      <c r="X18" s="2"/>
      <c r="Y18" s="2"/>
    </row>
    <row r="19">
      <c r="A19" s="7">
        <v>2019.0</v>
      </c>
      <c r="B19" s="7" t="s">
        <v>78</v>
      </c>
      <c r="C19" s="7" t="s">
        <v>99</v>
      </c>
      <c r="D19" s="7" t="s">
        <v>101</v>
      </c>
      <c r="E19" s="7">
        <v>30436.0</v>
      </c>
      <c r="F19" s="8">
        <v>45197.0</v>
      </c>
      <c r="G19" s="2"/>
      <c r="H19" s="2"/>
      <c r="I19" s="2"/>
      <c r="J19" s="2"/>
      <c r="K19" s="2"/>
      <c r="L19" s="2"/>
      <c r="M19" s="2"/>
      <c r="N19" s="2"/>
      <c r="O19" s="2"/>
      <c r="P19" s="2"/>
      <c r="Q19" s="2"/>
      <c r="R19" s="2"/>
      <c r="S19" s="2"/>
      <c r="T19" s="2"/>
      <c r="U19" s="2"/>
      <c r="V19" s="2"/>
      <c r="W19" s="2"/>
      <c r="X19" s="2"/>
      <c r="Y19" s="2"/>
    </row>
    <row r="20">
      <c r="A20" s="7">
        <v>2020.0</v>
      </c>
      <c r="B20" s="7" t="s">
        <v>80</v>
      </c>
      <c r="C20" s="7" t="s">
        <v>99</v>
      </c>
      <c r="D20" s="7" t="s">
        <v>102</v>
      </c>
      <c r="E20" s="7">
        <v>33953.0</v>
      </c>
      <c r="F20" s="8">
        <v>45212.0</v>
      </c>
      <c r="G20" s="2"/>
      <c r="H20" s="2"/>
      <c r="I20" s="2"/>
      <c r="J20" s="2"/>
      <c r="K20" s="2"/>
      <c r="L20" s="2"/>
      <c r="M20" s="2"/>
      <c r="N20" s="2"/>
      <c r="O20" s="2"/>
      <c r="P20" s="2"/>
      <c r="Q20" s="2"/>
      <c r="R20" s="2"/>
      <c r="S20" s="2"/>
      <c r="T20" s="2"/>
      <c r="U20" s="2"/>
      <c r="V20" s="2"/>
      <c r="W20" s="2"/>
      <c r="X20" s="2"/>
      <c r="Y20" s="2"/>
    </row>
    <row r="21">
      <c r="A21" s="2"/>
      <c r="B21" s="2"/>
      <c r="C21" s="2"/>
      <c r="D21" s="2"/>
      <c r="E21" s="2"/>
      <c r="F21" s="2"/>
      <c r="G21" s="2"/>
      <c r="H21" s="2"/>
      <c r="I21" s="2"/>
      <c r="J21" s="2"/>
      <c r="K21" s="2"/>
      <c r="L21" s="2"/>
      <c r="M21" s="2"/>
      <c r="N21" s="2"/>
      <c r="O21" s="2"/>
      <c r="P21" s="2"/>
      <c r="Q21" s="2"/>
      <c r="R21" s="2"/>
      <c r="S21" s="2"/>
      <c r="T21" s="2"/>
      <c r="U21" s="2"/>
      <c r="V21" s="2"/>
      <c r="W21" s="2"/>
      <c r="X21" s="2"/>
      <c r="Y21" s="2"/>
    </row>
    <row r="22">
      <c r="A22" s="2"/>
      <c r="B22" s="2"/>
      <c r="C22" s="2"/>
      <c r="D22" s="2"/>
      <c r="E22" s="2"/>
      <c r="F22" s="2"/>
      <c r="G22" s="2"/>
      <c r="H22" s="2"/>
      <c r="I22" s="2"/>
      <c r="J22" s="2"/>
      <c r="K22" s="2"/>
      <c r="L22" s="2"/>
      <c r="M22" s="2"/>
      <c r="N22" s="2"/>
      <c r="O22" s="2"/>
      <c r="P22" s="2"/>
      <c r="Q22" s="2"/>
      <c r="R22" s="2"/>
      <c r="S22" s="2"/>
      <c r="T22" s="2"/>
      <c r="U22" s="2"/>
      <c r="V22" s="2"/>
      <c r="W22" s="2"/>
      <c r="X22" s="2"/>
      <c r="Y22" s="2"/>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13"/>
    <col customWidth="1" min="16" max="16" width="16.5"/>
  </cols>
  <sheetData>
    <row r="1">
      <c r="A1" s="1" t="s">
        <v>103</v>
      </c>
      <c r="B1" s="1" t="s">
        <v>42</v>
      </c>
      <c r="C1" s="1" t="s">
        <v>104</v>
      </c>
      <c r="D1" s="1" t="s">
        <v>105</v>
      </c>
      <c r="E1" s="1" t="s">
        <v>106</v>
      </c>
      <c r="F1" s="22" t="s">
        <v>107</v>
      </c>
      <c r="G1" s="22" t="s">
        <v>108</v>
      </c>
      <c r="H1" s="22" t="s">
        <v>109</v>
      </c>
      <c r="I1" s="22" t="s">
        <v>110</v>
      </c>
      <c r="J1" s="23"/>
      <c r="K1" s="22" t="s">
        <v>111</v>
      </c>
      <c r="L1" s="22" t="s">
        <v>112</v>
      </c>
      <c r="M1" s="23"/>
      <c r="N1" s="1" t="s">
        <v>103</v>
      </c>
      <c r="O1" s="1" t="s">
        <v>105</v>
      </c>
      <c r="P1" s="1" t="s">
        <v>106</v>
      </c>
      <c r="Q1" s="23"/>
      <c r="R1" s="23"/>
      <c r="S1" s="23"/>
      <c r="T1" s="23"/>
      <c r="U1" s="23"/>
      <c r="V1" s="23"/>
      <c r="W1" s="23"/>
      <c r="X1" s="23"/>
      <c r="Y1" s="23"/>
      <c r="Z1" s="23"/>
      <c r="AA1" s="23"/>
      <c r="AB1" s="23"/>
      <c r="AC1" s="23"/>
      <c r="AD1" s="24"/>
    </row>
    <row r="2">
      <c r="A2" s="7">
        <v>3001.0</v>
      </c>
      <c r="B2" s="7" t="s">
        <v>113</v>
      </c>
      <c r="C2" s="7" t="s">
        <v>114</v>
      </c>
      <c r="D2" s="7">
        <v>86766.0</v>
      </c>
      <c r="E2" s="8">
        <v>42005.0</v>
      </c>
      <c r="F2" s="2" t="str">
        <f t="shared" ref="F2:F21" si="1">TEXT(E2,"DD-MM-YYYY")</f>
        <v>01-01-2015</v>
      </c>
      <c r="G2" s="2">
        <f t="shared" ref="G2:G21" si="2">YEAR(E2)</f>
        <v>2015</v>
      </c>
      <c r="H2" s="2" t="str">
        <f t="shared" ref="H2:H21" si="3">TEXT(E2,"MMM")</f>
        <v>Jan</v>
      </c>
      <c r="I2" s="2">
        <f t="shared" ref="I2:I21" si="4">DATEDIF(E2,TODAY(),"Y")</f>
        <v>11</v>
      </c>
      <c r="J2" s="2" t="str">
        <f t="shared" ref="J2:J21" si="5">IF(DATEDIF(E2,TODAY(),"Y")&gt;=3,"Experienced","New")</f>
        <v>Experienced</v>
      </c>
      <c r="K2" s="2">
        <f>COUNTIFS(E2:E21,"&gt;=2025-01-01",E2:E21,"&lt;=2025-12-31")</f>
        <v>2</v>
      </c>
      <c r="L2" s="2" t="str">
        <f t="shared" ref="L2:L21" si="6">IF(E2&gt;=TODAY()-730,"Recent","Old")</f>
        <v>Old</v>
      </c>
      <c r="M2" s="2"/>
      <c r="N2" s="21">
        <v>3001.0</v>
      </c>
      <c r="O2" s="2">
        <f t="shared" ref="O2:O5" si="7">XLOOKUP(N2,A2:A21,D2:D21,"Not Found")</f>
        <v>86766</v>
      </c>
      <c r="P2" s="11">
        <f t="shared" ref="P2:P5" si="8">XLOOKUP(N2,A2:A21,E2:E21,"Not found")</f>
        <v>42005</v>
      </c>
      <c r="Q2" s="2"/>
      <c r="R2" s="2"/>
      <c r="S2" s="2"/>
      <c r="T2" s="2"/>
      <c r="U2" s="2"/>
      <c r="V2" s="2"/>
      <c r="W2" s="2"/>
      <c r="X2" s="2"/>
      <c r="Y2" s="2"/>
      <c r="Z2" s="2"/>
      <c r="AA2" s="2"/>
      <c r="AB2" s="2"/>
      <c r="AC2" s="2"/>
    </row>
    <row r="3">
      <c r="A3" s="7">
        <v>3002.0</v>
      </c>
      <c r="B3" s="7" t="s">
        <v>115</v>
      </c>
      <c r="C3" s="7" t="s">
        <v>114</v>
      </c>
      <c r="D3" s="7">
        <v>31943.0</v>
      </c>
      <c r="E3" s="8">
        <v>42255.0</v>
      </c>
      <c r="F3" s="2" t="str">
        <f t="shared" si="1"/>
        <v>08-09-2015</v>
      </c>
      <c r="G3" s="2">
        <f t="shared" si="2"/>
        <v>2015</v>
      </c>
      <c r="H3" s="2" t="str">
        <f t="shared" si="3"/>
        <v>Sep</v>
      </c>
      <c r="I3" s="2">
        <f t="shared" si="4"/>
        <v>10</v>
      </c>
      <c r="J3" s="2" t="str">
        <f t="shared" si="5"/>
        <v>Experienced</v>
      </c>
      <c r="K3" s="2"/>
      <c r="L3" s="2" t="str">
        <f t="shared" si="6"/>
        <v>Old</v>
      </c>
      <c r="M3" s="2"/>
      <c r="N3" s="21">
        <v>3020.0</v>
      </c>
      <c r="O3" s="2">
        <f t="shared" si="7"/>
        <v>99924</v>
      </c>
      <c r="P3" s="11">
        <f t="shared" si="8"/>
        <v>46755</v>
      </c>
      <c r="Q3" s="2"/>
      <c r="R3" s="2"/>
      <c r="S3" s="2"/>
      <c r="T3" s="2"/>
      <c r="U3" s="2"/>
      <c r="V3" s="2"/>
      <c r="W3" s="2"/>
      <c r="X3" s="2"/>
      <c r="Y3" s="2"/>
      <c r="Z3" s="2"/>
      <c r="AA3" s="2"/>
      <c r="AB3" s="2"/>
      <c r="AC3" s="2"/>
    </row>
    <row r="4">
      <c r="A4" s="7">
        <v>3003.0</v>
      </c>
      <c r="B4" s="7" t="s">
        <v>116</v>
      </c>
      <c r="C4" s="7" t="s">
        <v>117</v>
      </c>
      <c r="D4" s="7">
        <v>63374.0</v>
      </c>
      <c r="E4" s="8">
        <v>42505.0</v>
      </c>
      <c r="F4" s="2" t="str">
        <f t="shared" si="1"/>
        <v>15-05-2016</v>
      </c>
      <c r="G4" s="2">
        <f t="shared" si="2"/>
        <v>2016</v>
      </c>
      <c r="H4" s="2" t="str">
        <f t="shared" si="3"/>
        <v>May</v>
      </c>
      <c r="I4" s="2">
        <f t="shared" si="4"/>
        <v>9</v>
      </c>
      <c r="J4" s="2" t="str">
        <f t="shared" si="5"/>
        <v>Experienced</v>
      </c>
      <c r="K4" s="2"/>
      <c r="L4" s="2" t="str">
        <f t="shared" si="6"/>
        <v>Old</v>
      </c>
      <c r="M4" s="2"/>
      <c r="N4" s="21">
        <v>3006.0</v>
      </c>
      <c r="O4" s="2">
        <f t="shared" si="7"/>
        <v>78689</v>
      </c>
      <c r="P4" s="11">
        <f t="shared" si="8"/>
        <v>43255</v>
      </c>
      <c r="Q4" s="2"/>
      <c r="R4" s="2"/>
      <c r="S4" s="2"/>
      <c r="T4" s="2"/>
      <c r="U4" s="2"/>
      <c r="V4" s="2"/>
      <c r="W4" s="2"/>
      <c r="X4" s="2"/>
      <c r="Y4" s="2"/>
      <c r="Z4" s="2"/>
      <c r="AA4" s="2"/>
      <c r="AB4" s="2"/>
      <c r="AC4" s="2"/>
    </row>
    <row r="5">
      <c r="A5" s="7">
        <v>3004.0</v>
      </c>
      <c r="B5" s="7" t="s">
        <v>118</v>
      </c>
      <c r="C5" s="7" t="s">
        <v>114</v>
      </c>
      <c r="D5" s="7">
        <v>109972.0</v>
      </c>
      <c r="E5" s="8">
        <v>42755.0</v>
      </c>
      <c r="F5" s="2" t="str">
        <f t="shared" si="1"/>
        <v>20-01-2017</v>
      </c>
      <c r="G5" s="2">
        <f t="shared" si="2"/>
        <v>2017</v>
      </c>
      <c r="H5" s="2" t="str">
        <f t="shared" si="3"/>
        <v>Jan</v>
      </c>
      <c r="I5" s="2">
        <f t="shared" si="4"/>
        <v>9</v>
      </c>
      <c r="J5" s="2" t="str">
        <f t="shared" si="5"/>
        <v>Experienced</v>
      </c>
      <c r="K5" s="2"/>
      <c r="L5" s="2" t="str">
        <f t="shared" si="6"/>
        <v>Old</v>
      </c>
      <c r="M5" s="2"/>
      <c r="N5" s="21">
        <v>3021.0</v>
      </c>
      <c r="O5" s="2" t="str">
        <f t="shared" si="7"/>
        <v>Not Found</v>
      </c>
      <c r="P5" s="2" t="str">
        <f t="shared" si="8"/>
        <v>Not found</v>
      </c>
      <c r="Q5" s="2"/>
      <c r="R5" s="2"/>
      <c r="S5" s="2"/>
      <c r="T5" s="2"/>
      <c r="U5" s="2"/>
      <c r="V5" s="2"/>
      <c r="W5" s="2"/>
      <c r="X5" s="2"/>
      <c r="Y5" s="2"/>
      <c r="Z5" s="2"/>
      <c r="AA5" s="2"/>
      <c r="AB5" s="2"/>
      <c r="AC5" s="2"/>
    </row>
    <row r="6">
      <c r="A6" s="7">
        <v>3005.0</v>
      </c>
      <c r="B6" s="7" t="s">
        <v>119</v>
      </c>
      <c r="C6" s="7" t="s">
        <v>120</v>
      </c>
      <c r="D6" s="7">
        <v>54149.0</v>
      </c>
      <c r="E6" s="8">
        <v>43005.0</v>
      </c>
      <c r="F6" s="2" t="str">
        <f t="shared" si="1"/>
        <v>27-09-2017</v>
      </c>
      <c r="G6" s="2">
        <f t="shared" si="2"/>
        <v>2017</v>
      </c>
      <c r="H6" s="2" t="str">
        <f t="shared" si="3"/>
        <v>Sep</v>
      </c>
      <c r="I6" s="2">
        <f t="shared" si="4"/>
        <v>8</v>
      </c>
      <c r="J6" s="2" t="str">
        <f t="shared" si="5"/>
        <v>Experienced</v>
      </c>
      <c r="K6" s="2"/>
      <c r="L6" s="2" t="str">
        <f t="shared" si="6"/>
        <v>Old</v>
      </c>
      <c r="M6" s="2"/>
      <c r="N6" s="2"/>
      <c r="O6" s="2"/>
      <c r="P6" s="2"/>
      <c r="Q6" s="2"/>
      <c r="R6" s="2"/>
      <c r="S6" s="2"/>
      <c r="T6" s="2"/>
      <c r="U6" s="2"/>
      <c r="V6" s="2"/>
      <c r="W6" s="2"/>
      <c r="X6" s="2"/>
      <c r="Y6" s="2"/>
      <c r="Z6" s="2"/>
      <c r="AA6" s="2"/>
      <c r="AB6" s="2"/>
      <c r="AC6" s="2"/>
    </row>
    <row r="7">
      <c r="A7" s="7">
        <v>3006.0</v>
      </c>
      <c r="B7" s="7" t="s">
        <v>121</v>
      </c>
      <c r="C7" s="7" t="s">
        <v>120</v>
      </c>
      <c r="D7" s="7">
        <v>78689.0</v>
      </c>
      <c r="E7" s="8">
        <v>43255.0</v>
      </c>
      <c r="F7" s="2" t="str">
        <f t="shared" si="1"/>
        <v>04-06-2018</v>
      </c>
      <c r="G7" s="2">
        <f t="shared" si="2"/>
        <v>2018</v>
      </c>
      <c r="H7" s="2" t="str">
        <f t="shared" si="3"/>
        <v>Jun</v>
      </c>
      <c r="I7" s="2">
        <f t="shared" si="4"/>
        <v>7</v>
      </c>
      <c r="J7" s="2" t="str">
        <f t="shared" si="5"/>
        <v>Experienced</v>
      </c>
      <c r="K7" s="2"/>
      <c r="L7" s="2" t="str">
        <f t="shared" si="6"/>
        <v>Old</v>
      </c>
      <c r="M7" s="2"/>
      <c r="N7" s="2"/>
      <c r="O7" s="2"/>
      <c r="P7" s="2"/>
      <c r="Q7" s="2"/>
      <c r="R7" s="2"/>
      <c r="S7" s="2"/>
      <c r="T7" s="2"/>
      <c r="U7" s="2"/>
      <c r="V7" s="2"/>
      <c r="W7" s="2"/>
      <c r="X7" s="2"/>
      <c r="Y7" s="2"/>
      <c r="Z7" s="2"/>
      <c r="AA7" s="2"/>
      <c r="AB7" s="2"/>
      <c r="AC7" s="2"/>
    </row>
    <row r="8">
      <c r="A8" s="7">
        <v>3007.0</v>
      </c>
      <c r="B8" s="7" t="s">
        <v>122</v>
      </c>
      <c r="C8" s="7" t="s">
        <v>123</v>
      </c>
      <c r="D8" s="7">
        <v>35960.0</v>
      </c>
      <c r="E8" s="8">
        <v>43505.0</v>
      </c>
      <c r="F8" s="2" t="str">
        <f t="shared" si="1"/>
        <v>09-02-2019</v>
      </c>
      <c r="G8" s="2">
        <f t="shared" si="2"/>
        <v>2019</v>
      </c>
      <c r="H8" s="2" t="str">
        <f t="shared" si="3"/>
        <v>Feb</v>
      </c>
      <c r="I8" s="2">
        <f t="shared" si="4"/>
        <v>7</v>
      </c>
      <c r="J8" s="2" t="str">
        <f t="shared" si="5"/>
        <v>Experienced</v>
      </c>
      <c r="K8" s="2"/>
      <c r="L8" s="2" t="str">
        <f t="shared" si="6"/>
        <v>Old</v>
      </c>
      <c r="M8" s="2"/>
      <c r="N8" s="2"/>
      <c r="O8" s="2"/>
      <c r="P8" s="2"/>
      <c r="Q8" s="2"/>
      <c r="R8" s="2"/>
      <c r="S8" s="2"/>
      <c r="T8" s="2"/>
      <c r="U8" s="2"/>
      <c r="V8" s="2"/>
      <c r="W8" s="2"/>
      <c r="X8" s="2"/>
      <c r="Y8" s="2"/>
      <c r="Z8" s="2"/>
      <c r="AA8" s="2"/>
      <c r="AB8" s="2"/>
      <c r="AC8" s="2"/>
    </row>
    <row r="9">
      <c r="A9" s="7">
        <v>3008.0</v>
      </c>
      <c r="B9" s="7" t="s">
        <v>124</v>
      </c>
      <c r="C9" s="7" t="s">
        <v>120</v>
      </c>
      <c r="D9" s="7">
        <v>91659.0</v>
      </c>
      <c r="E9" s="8">
        <v>43755.0</v>
      </c>
      <c r="F9" s="2" t="str">
        <f t="shared" si="1"/>
        <v>17-10-2019</v>
      </c>
      <c r="G9" s="2">
        <f t="shared" si="2"/>
        <v>2019</v>
      </c>
      <c r="H9" s="2" t="str">
        <f t="shared" si="3"/>
        <v>Oct</v>
      </c>
      <c r="I9" s="2">
        <f t="shared" si="4"/>
        <v>6</v>
      </c>
      <c r="J9" s="2" t="str">
        <f t="shared" si="5"/>
        <v>Experienced</v>
      </c>
      <c r="K9" s="2"/>
      <c r="L9" s="2" t="str">
        <f t="shared" si="6"/>
        <v>Old</v>
      </c>
      <c r="M9" s="2"/>
      <c r="N9" s="2"/>
      <c r="O9" s="2"/>
      <c r="P9" s="2"/>
      <c r="Q9" s="2"/>
      <c r="R9" s="2"/>
      <c r="S9" s="2"/>
      <c r="T9" s="2"/>
      <c r="U9" s="2"/>
      <c r="V9" s="2"/>
      <c r="W9" s="2"/>
      <c r="X9" s="2"/>
      <c r="Y9" s="2"/>
      <c r="Z9" s="2"/>
      <c r="AA9" s="2"/>
      <c r="AB9" s="2"/>
      <c r="AC9" s="2"/>
    </row>
    <row r="10">
      <c r="A10" s="7">
        <v>3009.0</v>
      </c>
      <c r="B10" s="7" t="s">
        <v>125</v>
      </c>
      <c r="C10" s="7" t="s">
        <v>120</v>
      </c>
      <c r="D10" s="7">
        <v>90423.0</v>
      </c>
      <c r="E10" s="8">
        <v>44005.0</v>
      </c>
      <c r="F10" s="2" t="str">
        <f t="shared" si="1"/>
        <v>23-06-2020</v>
      </c>
      <c r="G10" s="2">
        <f t="shared" si="2"/>
        <v>2020</v>
      </c>
      <c r="H10" s="2" t="str">
        <f t="shared" si="3"/>
        <v>Jun</v>
      </c>
      <c r="I10" s="2">
        <f t="shared" si="4"/>
        <v>5</v>
      </c>
      <c r="J10" s="2" t="str">
        <f t="shared" si="5"/>
        <v>Experienced</v>
      </c>
      <c r="K10" s="2"/>
      <c r="L10" s="2" t="str">
        <f t="shared" si="6"/>
        <v>Old</v>
      </c>
      <c r="M10" s="2"/>
      <c r="N10" s="2"/>
      <c r="O10" s="2"/>
      <c r="P10" s="2"/>
      <c r="Q10" s="2"/>
      <c r="R10" s="2"/>
      <c r="S10" s="2"/>
      <c r="T10" s="2"/>
      <c r="U10" s="2"/>
      <c r="V10" s="2"/>
      <c r="W10" s="2"/>
      <c r="X10" s="2"/>
      <c r="Y10" s="2"/>
      <c r="Z10" s="2"/>
      <c r="AA10" s="2"/>
      <c r="AB10" s="2"/>
      <c r="AC10" s="2"/>
    </row>
    <row r="11">
      <c r="A11" s="7">
        <v>3010.0</v>
      </c>
      <c r="B11" s="7" t="s">
        <v>126</v>
      </c>
      <c r="C11" s="7" t="s">
        <v>117</v>
      </c>
      <c r="D11" s="7">
        <v>107877.0</v>
      </c>
      <c r="E11" s="8">
        <v>44255.0</v>
      </c>
      <c r="F11" s="2" t="str">
        <f t="shared" si="1"/>
        <v>28-02-2021</v>
      </c>
      <c r="G11" s="2">
        <f t="shared" si="2"/>
        <v>2021</v>
      </c>
      <c r="H11" s="2" t="str">
        <f t="shared" si="3"/>
        <v>Feb</v>
      </c>
      <c r="I11" s="2">
        <f t="shared" si="4"/>
        <v>5</v>
      </c>
      <c r="J11" s="2" t="str">
        <f t="shared" si="5"/>
        <v>Experienced</v>
      </c>
      <c r="K11" s="2"/>
      <c r="L11" s="2" t="str">
        <f t="shared" si="6"/>
        <v>Old</v>
      </c>
      <c r="M11" s="2"/>
      <c r="N11" s="2"/>
      <c r="O11" s="2"/>
      <c r="P11" s="2"/>
      <c r="Q11" s="2"/>
      <c r="R11" s="2"/>
      <c r="S11" s="2"/>
      <c r="T11" s="2"/>
      <c r="U11" s="2"/>
      <c r="V11" s="2"/>
      <c r="W11" s="2"/>
      <c r="X11" s="2"/>
      <c r="Y11" s="2"/>
      <c r="Z11" s="2"/>
      <c r="AA11" s="2"/>
      <c r="AB11" s="2"/>
      <c r="AC11" s="2"/>
    </row>
    <row r="12">
      <c r="A12" s="7">
        <v>3011.0</v>
      </c>
      <c r="B12" s="7" t="s">
        <v>127</v>
      </c>
      <c r="C12" s="7" t="s">
        <v>114</v>
      </c>
      <c r="D12" s="7">
        <v>107634.0</v>
      </c>
      <c r="E12" s="8">
        <v>44505.0</v>
      </c>
      <c r="F12" s="2" t="str">
        <f t="shared" si="1"/>
        <v>05-11-2021</v>
      </c>
      <c r="G12" s="2">
        <f t="shared" si="2"/>
        <v>2021</v>
      </c>
      <c r="H12" s="2" t="str">
        <f t="shared" si="3"/>
        <v>Nov</v>
      </c>
      <c r="I12" s="2">
        <f t="shared" si="4"/>
        <v>4</v>
      </c>
      <c r="J12" s="2" t="str">
        <f t="shared" si="5"/>
        <v>Experienced</v>
      </c>
      <c r="K12" s="2"/>
      <c r="L12" s="2" t="str">
        <f t="shared" si="6"/>
        <v>Old</v>
      </c>
      <c r="M12" s="2"/>
      <c r="N12" s="2"/>
      <c r="O12" s="2"/>
      <c r="P12" s="2"/>
      <c r="Q12" s="2"/>
      <c r="R12" s="2"/>
      <c r="S12" s="2"/>
      <c r="T12" s="2"/>
      <c r="U12" s="2"/>
      <c r="V12" s="2"/>
      <c r="W12" s="2"/>
      <c r="X12" s="2"/>
      <c r="Y12" s="2"/>
      <c r="Z12" s="2"/>
      <c r="AA12" s="2"/>
      <c r="AB12" s="2"/>
      <c r="AC12" s="2"/>
    </row>
    <row r="13">
      <c r="A13" s="7">
        <v>3012.0</v>
      </c>
      <c r="B13" s="7" t="s">
        <v>128</v>
      </c>
      <c r="C13" s="7" t="s">
        <v>114</v>
      </c>
      <c r="D13" s="7">
        <v>35226.0</v>
      </c>
      <c r="E13" s="8">
        <v>44755.0</v>
      </c>
      <c r="F13" s="2" t="str">
        <f t="shared" si="1"/>
        <v>13-07-2022</v>
      </c>
      <c r="G13" s="2">
        <f t="shared" si="2"/>
        <v>2022</v>
      </c>
      <c r="H13" s="2" t="str">
        <f t="shared" si="3"/>
        <v>Jul</v>
      </c>
      <c r="I13" s="2">
        <f t="shared" si="4"/>
        <v>3</v>
      </c>
      <c r="J13" s="2" t="str">
        <f t="shared" si="5"/>
        <v>Experienced</v>
      </c>
      <c r="K13" s="2"/>
      <c r="L13" s="2" t="str">
        <f t="shared" si="6"/>
        <v>Old</v>
      </c>
      <c r="M13" s="2"/>
      <c r="N13" s="2"/>
      <c r="O13" s="2"/>
      <c r="P13" s="2"/>
      <c r="Q13" s="2"/>
      <c r="R13" s="2"/>
      <c r="S13" s="2"/>
      <c r="T13" s="2"/>
      <c r="U13" s="2"/>
      <c r="V13" s="2"/>
      <c r="W13" s="2"/>
      <c r="X13" s="2"/>
      <c r="Y13" s="2"/>
      <c r="Z13" s="2"/>
      <c r="AA13" s="2"/>
      <c r="AB13" s="2"/>
      <c r="AC13" s="2"/>
    </row>
    <row r="14">
      <c r="A14" s="7">
        <v>3013.0</v>
      </c>
      <c r="B14" s="7" t="s">
        <v>129</v>
      </c>
      <c r="C14" s="7" t="s">
        <v>117</v>
      </c>
      <c r="D14" s="7">
        <v>40872.0</v>
      </c>
      <c r="E14" s="8">
        <v>45005.0</v>
      </c>
      <c r="F14" s="2" t="str">
        <f t="shared" si="1"/>
        <v>20-03-2023</v>
      </c>
      <c r="G14" s="2">
        <f t="shared" si="2"/>
        <v>2023</v>
      </c>
      <c r="H14" s="2" t="str">
        <f t="shared" si="3"/>
        <v>Mar</v>
      </c>
      <c r="I14" s="2">
        <f t="shared" si="4"/>
        <v>3</v>
      </c>
      <c r="J14" s="2" t="str">
        <f t="shared" si="5"/>
        <v>Experienced</v>
      </c>
      <c r="K14" s="2"/>
      <c r="L14" s="2" t="str">
        <f t="shared" si="6"/>
        <v>Old</v>
      </c>
      <c r="M14" s="2"/>
      <c r="N14" s="2"/>
      <c r="O14" s="2"/>
      <c r="P14" s="2"/>
      <c r="Q14" s="2"/>
      <c r="R14" s="2"/>
      <c r="S14" s="2"/>
      <c r="T14" s="2"/>
      <c r="U14" s="2"/>
      <c r="V14" s="2"/>
      <c r="W14" s="2"/>
      <c r="X14" s="2"/>
      <c r="Y14" s="2"/>
      <c r="Z14" s="2"/>
      <c r="AA14" s="2"/>
      <c r="AB14" s="2"/>
      <c r="AC14" s="2"/>
    </row>
    <row r="15">
      <c r="A15" s="7">
        <v>3014.0</v>
      </c>
      <c r="B15" s="7" t="s">
        <v>130</v>
      </c>
      <c r="C15" s="7" t="s">
        <v>117</v>
      </c>
      <c r="D15" s="7">
        <v>55378.0</v>
      </c>
      <c r="E15" s="8">
        <v>45255.0</v>
      </c>
      <c r="F15" s="2" t="str">
        <f t="shared" si="1"/>
        <v>25-11-2023</v>
      </c>
      <c r="G15" s="2">
        <f t="shared" si="2"/>
        <v>2023</v>
      </c>
      <c r="H15" s="2" t="str">
        <f t="shared" si="3"/>
        <v>Nov</v>
      </c>
      <c r="I15" s="2">
        <f t="shared" si="4"/>
        <v>2</v>
      </c>
      <c r="J15" s="2" t="str">
        <f t="shared" si="5"/>
        <v>New</v>
      </c>
      <c r="K15" s="2"/>
      <c r="L15" s="2" t="str">
        <f t="shared" si="6"/>
        <v>Old</v>
      </c>
      <c r="M15" s="2"/>
      <c r="N15" s="2"/>
      <c r="O15" s="2"/>
      <c r="P15" s="2"/>
      <c r="Q15" s="2"/>
      <c r="R15" s="2"/>
      <c r="S15" s="2"/>
      <c r="T15" s="2"/>
      <c r="U15" s="2"/>
      <c r="V15" s="2"/>
      <c r="W15" s="2"/>
      <c r="X15" s="2"/>
      <c r="Y15" s="2"/>
      <c r="Z15" s="2"/>
      <c r="AA15" s="2"/>
      <c r="AB15" s="2"/>
      <c r="AC15" s="2"/>
    </row>
    <row r="16">
      <c r="A16" s="7">
        <v>3015.0</v>
      </c>
      <c r="B16" s="7" t="s">
        <v>131</v>
      </c>
      <c r="C16" s="7" t="s">
        <v>117</v>
      </c>
      <c r="D16" s="7">
        <v>63297.0</v>
      </c>
      <c r="E16" s="8">
        <v>45505.0</v>
      </c>
      <c r="F16" s="2" t="str">
        <f t="shared" si="1"/>
        <v>01-08-2024</v>
      </c>
      <c r="G16" s="2">
        <f t="shared" si="2"/>
        <v>2024</v>
      </c>
      <c r="H16" s="2" t="str">
        <f t="shared" si="3"/>
        <v>Aug</v>
      </c>
      <c r="I16" s="2">
        <f t="shared" si="4"/>
        <v>1</v>
      </c>
      <c r="J16" s="2" t="str">
        <f t="shared" si="5"/>
        <v>New</v>
      </c>
      <c r="K16" s="2"/>
      <c r="L16" s="2" t="str">
        <f t="shared" si="6"/>
        <v>Recent</v>
      </c>
      <c r="M16" s="2"/>
      <c r="N16" s="2"/>
      <c r="O16" s="2"/>
      <c r="P16" s="2"/>
      <c r="Q16" s="2"/>
      <c r="R16" s="2"/>
      <c r="S16" s="2"/>
      <c r="T16" s="2"/>
      <c r="U16" s="2"/>
      <c r="V16" s="2"/>
      <c r="W16" s="2"/>
      <c r="X16" s="2"/>
      <c r="Y16" s="2"/>
      <c r="Z16" s="2"/>
      <c r="AA16" s="2"/>
      <c r="AB16" s="2"/>
      <c r="AC16" s="2"/>
    </row>
    <row r="17">
      <c r="A17" s="7">
        <v>3016.0</v>
      </c>
      <c r="B17" s="7" t="s">
        <v>132</v>
      </c>
      <c r="C17" s="7" t="s">
        <v>114</v>
      </c>
      <c r="D17" s="7">
        <v>114173.0</v>
      </c>
      <c r="E17" s="8">
        <v>45755.0</v>
      </c>
      <c r="F17" s="2" t="str">
        <f t="shared" si="1"/>
        <v>08-04-2025</v>
      </c>
      <c r="G17" s="2">
        <f t="shared" si="2"/>
        <v>2025</v>
      </c>
      <c r="H17" s="2" t="str">
        <f t="shared" si="3"/>
        <v>Apr</v>
      </c>
      <c r="I17" s="2">
        <f t="shared" si="4"/>
        <v>1</v>
      </c>
      <c r="J17" s="2" t="str">
        <f t="shared" si="5"/>
        <v>New</v>
      </c>
      <c r="K17" s="2"/>
      <c r="L17" s="2" t="str">
        <f t="shared" si="6"/>
        <v>Recent</v>
      </c>
      <c r="M17" s="2"/>
      <c r="N17" s="2"/>
      <c r="O17" s="2"/>
      <c r="P17" s="2"/>
      <c r="Q17" s="2"/>
      <c r="R17" s="2"/>
      <c r="S17" s="2"/>
      <c r="T17" s="2"/>
      <c r="U17" s="2"/>
      <c r="V17" s="2"/>
      <c r="W17" s="2"/>
      <c r="X17" s="2"/>
      <c r="Y17" s="2"/>
      <c r="Z17" s="2"/>
      <c r="AA17" s="2"/>
      <c r="AB17" s="2"/>
      <c r="AC17" s="2"/>
    </row>
    <row r="18">
      <c r="A18" s="7">
        <v>3017.0</v>
      </c>
      <c r="B18" s="7" t="s">
        <v>133</v>
      </c>
      <c r="C18" s="7" t="s">
        <v>117</v>
      </c>
      <c r="D18" s="7">
        <v>86915.0</v>
      </c>
      <c r="E18" s="8">
        <v>46005.0</v>
      </c>
      <c r="F18" s="2" t="str">
        <f t="shared" si="1"/>
        <v>14-12-2025</v>
      </c>
      <c r="G18" s="2">
        <f t="shared" si="2"/>
        <v>2025</v>
      </c>
      <c r="H18" s="2" t="str">
        <f t="shared" si="3"/>
        <v>Dec</v>
      </c>
      <c r="I18" s="2">
        <f t="shared" si="4"/>
        <v>0</v>
      </c>
      <c r="J18" s="2" t="str">
        <f t="shared" si="5"/>
        <v>New</v>
      </c>
      <c r="K18" s="2"/>
      <c r="L18" s="2" t="str">
        <f t="shared" si="6"/>
        <v>Recent</v>
      </c>
      <c r="M18" s="2"/>
      <c r="N18" s="2"/>
      <c r="O18" s="2"/>
      <c r="P18" s="2"/>
      <c r="Q18" s="2"/>
      <c r="R18" s="2"/>
      <c r="S18" s="2"/>
      <c r="T18" s="2"/>
      <c r="U18" s="2"/>
      <c r="V18" s="2"/>
      <c r="W18" s="2"/>
      <c r="X18" s="2"/>
      <c r="Y18" s="2"/>
      <c r="Z18" s="2"/>
      <c r="AA18" s="2"/>
      <c r="AB18" s="2"/>
      <c r="AC18" s="2"/>
    </row>
    <row r="19">
      <c r="A19" s="7">
        <v>3018.0</v>
      </c>
      <c r="B19" s="7" t="s">
        <v>134</v>
      </c>
      <c r="C19" s="7" t="s">
        <v>120</v>
      </c>
      <c r="D19" s="7">
        <v>116284.0</v>
      </c>
      <c r="E19" s="8">
        <v>46255.0</v>
      </c>
      <c r="F19" s="2" t="str">
        <f t="shared" si="1"/>
        <v>21-08-2026</v>
      </c>
      <c r="G19" s="2">
        <f t="shared" si="2"/>
        <v>2026</v>
      </c>
      <c r="H19" s="2" t="str">
        <f t="shared" si="3"/>
        <v>Aug</v>
      </c>
      <c r="I19" s="2" t="str">
        <f t="shared" si="4"/>
        <v>#NUM!</v>
      </c>
      <c r="J19" s="2" t="str">
        <f t="shared" si="5"/>
        <v>#NUM!</v>
      </c>
      <c r="K19" s="2"/>
      <c r="L19" s="2" t="str">
        <f t="shared" si="6"/>
        <v>Recent</v>
      </c>
      <c r="M19" s="2"/>
      <c r="N19" s="2"/>
      <c r="O19" s="2"/>
      <c r="P19" s="2"/>
      <c r="Q19" s="2"/>
      <c r="R19" s="2"/>
      <c r="S19" s="2"/>
      <c r="T19" s="2"/>
      <c r="U19" s="2"/>
      <c r="V19" s="2"/>
      <c r="W19" s="2"/>
      <c r="X19" s="2"/>
      <c r="Y19" s="2"/>
      <c r="Z19" s="2"/>
      <c r="AA19" s="2"/>
      <c r="AB19" s="2"/>
      <c r="AC19" s="2"/>
    </row>
    <row r="20">
      <c r="A20" s="7">
        <v>3019.0</v>
      </c>
      <c r="B20" s="7" t="s">
        <v>135</v>
      </c>
      <c r="C20" s="7" t="s">
        <v>123</v>
      </c>
      <c r="D20" s="7">
        <v>116283.0</v>
      </c>
      <c r="E20" s="8">
        <v>46505.0</v>
      </c>
      <c r="F20" s="2" t="str">
        <f t="shared" si="1"/>
        <v>28-04-2027</v>
      </c>
      <c r="G20" s="2">
        <f t="shared" si="2"/>
        <v>2027</v>
      </c>
      <c r="H20" s="2" t="str">
        <f t="shared" si="3"/>
        <v>Apr</v>
      </c>
      <c r="I20" s="2" t="str">
        <f t="shared" si="4"/>
        <v>#NUM!</v>
      </c>
      <c r="J20" s="2" t="str">
        <f t="shared" si="5"/>
        <v>#NUM!</v>
      </c>
      <c r="K20" s="2"/>
      <c r="L20" s="2" t="str">
        <f t="shared" si="6"/>
        <v>Recent</v>
      </c>
      <c r="M20" s="2"/>
      <c r="N20" s="2"/>
      <c r="O20" s="2"/>
      <c r="P20" s="2"/>
      <c r="Q20" s="2"/>
      <c r="R20" s="2"/>
      <c r="S20" s="2"/>
      <c r="T20" s="2"/>
      <c r="U20" s="2"/>
      <c r="V20" s="2"/>
      <c r="W20" s="2"/>
      <c r="X20" s="2"/>
      <c r="Y20" s="2"/>
      <c r="Z20" s="2"/>
      <c r="AA20" s="2"/>
      <c r="AB20" s="2"/>
      <c r="AC20" s="2"/>
    </row>
    <row r="21">
      <c r="A21" s="7">
        <v>3020.0</v>
      </c>
      <c r="B21" s="7" t="s">
        <v>136</v>
      </c>
      <c r="C21" s="7" t="s">
        <v>123</v>
      </c>
      <c r="D21" s="7">
        <v>99924.0</v>
      </c>
      <c r="E21" s="8">
        <v>46755.0</v>
      </c>
      <c r="F21" s="2" t="str">
        <f t="shared" si="1"/>
        <v>03-01-2028</v>
      </c>
      <c r="G21" s="2">
        <f t="shared" si="2"/>
        <v>2028</v>
      </c>
      <c r="H21" s="2" t="str">
        <f t="shared" si="3"/>
        <v>Jan</v>
      </c>
      <c r="I21" s="2" t="str">
        <f t="shared" si="4"/>
        <v>#NUM!</v>
      </c>
      <c r="J21" s="2" t="str">
        <f t="shared" si="5"/>
        <v>#NUM!</v>
      </c>
      <c r="K21" s="2"/>
      <c r="L21" s="2" t="str">
        <f t="shared" si="6"/>
        <v>Recent</v>
      </c>
      <c r="M21" s="2"/>
      <c r="N21" s="2"/>
      <c r="O21" s="2"/>
      <c r="P21" s="2"/>
      <c r="Q21" s="2"/>
      <c r="R21" s="2"/>
      <c r="S21" s="2"/>
      <c r="T21" s="2"/>
      <c r="U21" s="2"/>
      <c r="V21" s="2"/>
      <c r="W21" s="2"/>
      <c r="X21" s="2"/>
      <c r="Y21" s="2"/>
      <c r="Z21" s="2"/>
      <c r="AA21" s="2"/>
      <c r="AB21" s="2"/>
      <c r="AC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drawing r:id="rId1"/>
</worksheet>
</file>